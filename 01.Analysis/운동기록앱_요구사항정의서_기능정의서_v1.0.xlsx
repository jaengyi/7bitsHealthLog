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개요" sheetId="2" state="visible" r:id="rId4"/>
    <sheet name="요구사항정의서" sheetId="3" state="visible" r:id="rId5"/>
    <sheet name="기능정의서" sheetId="4" state="visible" r:id="rId6"/>
    <sheet name="화면목록" sheetId="5" state="visible" r:id="rId7"/>
    <sheet name="데이터엔티티목록" sheetId="6" state="visible" r:id="rId8"/>
  </sheets>
  <definedNames>
    <definedName function="false" hidden="true" localSheetId="3" name="_xlnm._FilterDatabase" vbProcedure="false">기능정의서!$A$4:$L$162</definedName>
    <definedName function="false" hidden="true" localSheetId="5" name="_xlnm._FilterDatabase" vbProcedure="false">데이터엔티티목록!$A$4:$G$28</definedName>
    <definedName function="false" hidden="true" localSheetId="2" name="_xlnm._FilterDatabase" vbProcedure="false">요구사항정의서!$A$4:$J$86</definedName>
    <definedName function="false" hidden="true" localSheetId="4" name="_xlnm._FilterDatabase" vbProcedure="false">화면목록!$A$4:$G$49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<sst xmlns="http://schemas.openxmlformats.org/spreadsheetml/2006/main" count="3355" uniqueCount="1728">
  <si>
    <t xml:space="preserve">개인용 운동기록 애플리케이션</t>
  </si>
  <si>
    <r>
      <rPr>
        <b val="true"/>
        <sz val="16"/>
        <color rgb="FF2E5395"/>
        <rFont val="Noto Sans CJK SC"/>
        <family val="2"/>
      </rPr>
      <t xml:space="preserve">요구사항정의서 </t>
    </r>
    <r>
      <rPr>
        <b val="true"/>
        <sz val="16"/>
        <color rgb="FF2E5395"/>
        <rFont val="Malgun Gothic"/>
        <family val="0"/>
        <charset val="1"/>
      </rPr>
      <t xml:space="preserve">· </t>
    </r>
    <r>
      <rPr>
        <b val="true"/>
        <sz val="16"/>
        <color rgb="FF2E5395"/>
        <rFont val="Noto Sans CJK SC"/>
        <family val="2"/>
      </rPr>
      <t xml:space="preserve">기능정의서</t>
    </r>
  </si>
  <si>
    <r>
      <rPr>
        <i val="true"/>
        <sz val="11"/>
        <color rgb="FF595959"/>
        <rFont val="Malgun Gothic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가칭</t>
    </r>
    <r>
      <rPr>
        <i val="true"/>
        <sz val="11"/>
        <color rgb="FF595959"/>
        <rFont val="Malgun Gothic"/>
        <family val="0"/>
        <charset val="1"/>
      </rPr>
      <t xml:space="preserve">) MyFit — Personal Workout Log</t>
    </r>
  </si>
  <si>
    <t xml:space="preserve">■ 문서 정보</t>
  </si>
  <si>
    <t xml:space="preserve">문서명</t>
  </si>
  <si>
    <t xml:space="preserve">요구사항정의서 및 기능정의서</t>
  </si>
  <si>
    <t xml:space="preserve">프로젝트명</t>
  </si>
  <si>
    <r>
      <rPr>
        <sz val="10"/>
        <rFont val="Noto Sans CJK SC"/>
        <family val="2"/>
      </rPr>
      <t xml:space="preserve">개인용 운동기록 애플리케이션 </t>
    </r>
    <r>
      <rPr>
        <sz val="10"/>
        <rFont val="Malgun Gothic"/>
        <family val="0"/>
        <charset val="1"/>
      </rPr>
      <t xml:space="preserve">(Android)</t>
    </r>
  </si>
  <si>
    <t xml:space="preserve">문서 버전</t>
  </si>
  <si>
    <t xml:space="preserve">v1.0</t>
  </si>
  <si>
    <t xml:space="preserve">작성일</t>
  </si>
  <si>
    <t xml:space="preserve">2026-07-30</t>
  </si>
  <si>
    <t xml:space="preserve">작성자</t>
  </si>
  <si>
    <t xml:space="preserve">HyungWook Oh (Jaengyi)</t>
  </si>
  <si>
    <t xml:space="preserve">문서 상태</t>
  </si>
  <si>
    <r>
      <rPr>
        <sz val="10"/>
        <rFont val="Noto Sans CJK SC"/>
        <family val="2"/>
      </rPr>
      <t xml:space="preserve">초안 </t>
    </r>
    <r>
      <rPr>
        <sz val="10"/>
        <rFont val="Malgun Gothic"/>
        <family val="0"/>
        <charset val="1"/>
      </rPr>
      <t xml:space="preserve">(Draft)</t>
    </r>
  </si>
  <si>
    <t xml:space="preserve">적용 범위</t>
  </si>
  <si>
    <r>
      <rPr>
        <sz val="10"/>
        <rFont val="Malgun Gothic"/>
        <family val="0"/>
        <charset val="1"/>
      </rPr>
      <t xml:space="preserve">Android </t>
    </r>
    <r>
      <rPr>
        <sz val="10"/>
        <rFont val="Noto Sans CJK SC"/>
        <family val="2"/>
      </rPr>
      <t xml:space="preserve">모바일 앱 및 개인 서버 백엔드 </t>
    </r>
    <r>
      <rPr>
        <sz val="10"/>
        <rFont val="Malgun Gothic"/>
        <family val="0"/>
        <charset val="1"/>
      </rPr>
      <t xml:space="preserve">API</t>
    </r>
  </si>
  <si>
    <t xml:space="preserve">기술 스택</t>
  </si>
  <si>
    <t xml:space="preserve">Kotlin, Jetpack Compose, Clean Architecture, Room, Hilt, Retrofit, WorkManager</t>
  </si>
  <si>
    <t xml:space="preserve">배포 목적</t>
  </si>
  <si>
    <r>
      <rPr>
        <sz val="10"/>
        <rFont val="Noto Sans CJK SC"/>
        <family val="2"/>
      </rPr>
      <t xml:space="preserve">개인 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비상업</t>
    </r>
    <r>
      <rPr>
        <sz val="10"/>
        <rFont val="Malgun Gothic"/>
        <family val="0"/>
        <charset val="1"/>
      </rPr>
      <t xml:space="preserve">)</t>
    </r>
  </si>
  <si>
    <t xml:space="preserve">■ 개정 이력</t>
  </si>
  <si>
    <t xml:space="preserve">버전</t>
  </si>
  <si>
    <t xml:space="preserve">개정 내용</t>
  </si>
  <si>
    <r>
      <rPr>
        <sz val="10"/>
        <rFont val="Noto Sans CJK SC"/>
        <family val="2"/>
      </rPr>
      <t xml:space="preserve">최초 작성 — 요구사항 </t>
    </r>
    <r>
      <rPr>
        <sz val="10"/>
        <rFont val="Malgun Gothic"/>
        <family val="0"/>
        <charset val="1"/>
      </rPr>
      <t xml:space="preserve">82</t>
    </r>
    <r>
      <rPr>
        <sz val="10"/>
        <rFont val="Noto Sans CJK SC"/>
        <family val="2"/>
      </rPr>
      <t xml:space="preserve">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기능 </t>
    </r>
    <r>
      <rPr>
        <sz val="10"/>
        <rFont val="Malgun Gothic"/>
        <family val="0"/>
        <charset val="1"/>
      </rPr>
      <t xml:space="preserve">158</t>
    </r>
    <r>
      <rPr>
        <sz val="10"/>
        <rFont val="Noto Sans CJK SC"/>
        <family val="2"/>
      </rPr>
      <t xml:space="preserve">건 정의</t>
    </r>
  </si>
  <si>
    <r>
      <rPr>
        <sz val="9"/>
        <color rgb="FF7F6000"/>
        <rFont val="Noto Sans CJK SC"/>
        <family val="2"/>
      </rPr>
      <t xml:space="preserve">※ 본 문서는 시장 조사 결과</t>
    </r>
    <r>
      <rPr>
        <sz val="9"/>
        <color rgb="FF7F6000"/>
        <rFont val="Malgun Gothic"/>
        <family val="0"/>
        <charset val="1"/>
      </rPr>
      <t xml:space="preserve">(</t>
    </r>
    <r>
      <rPr>
        <sz val="9"/>
        <color rgb="FF7F6000"/>
        <rFont val="Noto Sans CJK SC"/>
        <family val="2"/>
      </rPr>
      <t xml:space="preserve">경쟁 앱 기능 범위 분석</t>
    </r>
    <r>
      <rPr>
        <sz val="9"/>
        <color rgb="FF7F6000"/>
        <rFont val="Malgun Gothic"/>
        <family val="0"/>
        <charset val="1"/>
      </rPr>
      <t xml:space="preserve">)</t>
    </r>
    <r>
      <rPr>
        <sz val="9"/>
        <color rgb="FF7F6000"/>
        <rFont val="Noto Sans CJK SC"/>
        <family val="2"/>
      </rPr>
      <t xml:space="preserve">를 참고하여 작성한 자체 요구사항 정의서입니다</t>
    </r>
    <r>
      <rPr>
        <sz val="9"/>
        <color rgb="FF7F6000"/>
        <rFont val="Malgun Gothic"/>
        <family val="0"/>
        <charset val="1"/>
      </rPr>
      <t xml:space="preserve">. </t>
    </r>
    <r>
      <rPr>
        <sz val="9"/>
        <color rgb="FF7F6000"/>
        <rFont val="Noto Sans CJK SC"/>
        <family val="2"/>
      </rPr>
      <t xml:space="preserve">특정 상용 앱의 </t>
    </r>
    <r>
      <rPr>
        <sz val="9"/>
        <color rgb="FF7F6000"/>
        <rFont val="Malgun Gothic"/>
        <family val="0"/>
        <charset val="1"/>
      </rPr>
      <t xml:space="preserve">UI </t>
    </r>
    <r>
      <rPr>
        <sz val="9"/>
        <color rgb="FF7F6000"/>
        <rFont val="Noto Sans CJK SC"/>
        <family val="2"/>
      </rPr>
      <t xml:space="preserve">디자인</t>
    </r>
    <r>
      <rPr>
        <sz val="9"/>
        <color rgb="FF7F6000"/>
        <rFont val="Malgun Gothic"/>
        <family val="0"/>
        <charset val="1"/>
      </rPr>
      <t xml:space="preserve">, </t>
    </r>
    <r>
      <rPr>
        <sz val="9"/>
        <color rgb="FF7F6000"/>
        <rFont val="Noto Sans CJK SC"/>
        <family val="2"/>
      </rPr>
      <t xml:space="preserve">아이콘</t>
    </r>
    <r>
      <rPr>
        <sz val="9"/>
        <color rgb="FF7F6000"/>
        <rFont val="Malgun Gothic"/>
        <family val="0"/>
        <charset val="1"/>
      </rPr>
      <t xml:space="preserve">, </t>
    </r>
    <r>
      <rPr>
        <sz val="9"/>
        <color rgb="FF7F6000"/>
        <rFont val="Noto Sans CJK SC"/>
        <family val="2"/>
      </rPr>
      <t xml:space="preserve">동작 애니메이션</t>
    </r>
    <r>
      <rPr>
        <sz val="9"/>
        <color rgb="FF7F6000"/>
        <rFont val="Malgun Gothic"/>
        <family val="0"/>
        <charset val="1"/>
      </rPr>
      <t xml:space="preserve">, </t>
    </r>
    <r>
      <rPr>
        <sz val="9"/>
        <color rgb="FF7F6000"/>
        <rFont val="Noto Sans CJK SC"/>
        <family val="2"/>
      </rPr>
      <t xml:space="preserve">음식 데이터베이스 등 저작물은 복제 대상에 포함하지 않으며</t>
    </r>
    <r>
      <rPr>
        <sz val="9"/>
        <color rgb="FF7F6000"/>
        <rFont val="Malgun Gothic"/>
        <family val="0"/>
        <charset val="1"/>
      </rPr>
      <t xml:space="preserve">, </t>
    </r>
    <r>
      <rPr>
        <sz val="9"/>
        <color rgb="FF7F6000"/>
        <rFont val="Noto Sans CJK SC"/>
        <family val="2"/>
      </rPr>
      <t xml:space="preserve">종목 설명 등 콘텐츠는 자체 작성 또는 공공데이터</t>
    </r>
    <r>
      <rPr>
        <sz val="9"/>
        <color rgb="FF7F6000"/>
        <rFont val="Malgun Gothic"/>
        <family val="0"/>
        <charset val="1"/>
      </rPr>
      <t xml:space="preserve">·</t>
    </r>
    <r>
      <rPr>
        <sz val="9"/>
        <color rgb="FF7F6000"/>
        <rFont val="Noto Sans CJK SC"/>
        <family val="2"/>
      </rPr>
      <t xml:space="preserve">오픈라이선스 자료로 확보하는 것을 전제로 합니다</t>
    </r>
    <r>
      <rPr>
        <sz val="9"/>
        <color rgb="FF7F6000"/>
        <rFont val="Malgun Gothic"/>
        <family val="0"/>
        <charset val="1"/>
      </rPr>
      <t xml:space="preserve">. (REQ-NFR-009 </t>
    </r>
    <r>
      <rPr>
        <sz val="9"/>
        <color rgb="FF7F6000"/>
        <rFont val="Noto Sans CJK SC"/>
        <family val="2"/>
      </rPr>
      <t xml:space="preserve">참조</t>
    </r>
    <r>
      <rPr>
        <sz val="9"/>
        <color rgb="FF7F6000"/>
        <rFont val="Malgun Gothic"/>
        <family val="0"/>
        <charset val="1"/>
      </rPr>
      <t xml:space="preserve">)</t>
    </r>
  </si>
  <si>
    <r>
      <rPr>
        <b val="true"/>
        <sz val="14"/>
        <color rgb="FF1F3864"/>
        <rFont val="Malgun Gothic"/>
        <family val="0"/>
        <charset val="1"/>
      </rPr>
      <t xml:space="preserve">1. </t>
    </r>
    <r>
      <rPr>
        <b val="true"/>
        <sz val="14"/>
        <color rgb="FF1F3864"/>
        <rFont val="Noto Sans CJK SC"/>
        <family val="2"/>
      </rPr>
      <t xml:space="preserve">문서 개요</t>
    </r>
  </si>
  <si>
    <r>
      <rPr>
        <i val="true"/>
        <sz val="9"/>
        <color rgb="FF595959"/>
        <rFont val="Noto Sans CJK SC"/>
        <family val="2"/>
      </rPr>
      <t xml:space="preserve">프로젝트 목적 </t>
    </r>
    <r>
      <rPr>
        <i val="true"/>
        <sz val="9"/>
        <color rgb="FF595959"/>
        <rFont val="Malgun Gothic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범위 </t>
    </r>
    <r>
      <rPr>
        <i val="true"/>
        <sz val="9"/>
        <color rgb="FF595959"/>
        <rFont val="Malgun Gothic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산출물 통계 </t>
    </r>
    <r>
      <rPr>
        <i val="true"/>
        <sz val="9"/>
        <color rgb="FF595959"/>
        <rFont val="Malgun Gothic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용어 정의</t>
    </r>
  </si>
  <si>
    <r>
      <rPr>
        <b val="true"/>
        <sz val="11"/>
        <color rgb="FFFFFFFF"/>
        <rFont val="Malgun Gothic"/>
        <family val="0"/>
        <charset val="1"/>
      </rPr>
      <t xml:space="preserve">1.1 </t>
    </r>
    <r>
      <rPr>
        <b val="true"/>
        <sz val="11"/>
        <color rgb="FFFFFFFF"/>
        <rFont val="Noto Sans CJK SC"/>
        <family val="2"/>
      </rPr>
      <t xml:space="preserve">목적</t>
    </r>
  </si>
  <si>
    <r>
      <rPr>
        <sz val="10"/>
        <rFont val="Noto Sans CJK SC"/>
        <family val="2"/>
      </rPr>
      <t xml:space="preserve">본 문서는 개인 사용을 목적으로 하는 </t>
    </r>
    <r>
      <rPr>
        <sz val="10"/>
        <rFont val="Malgun Gothic"/>
        <family val="0"/>
        <charset val="1"/>
      </rPr>
      <t xml:space="preserve">Android </t>
    </r>
    <r>
      <rPr>
        <sz val="10"/>
        <rFont val="Noto Sans CJK SC"/>
        <family val="2"/>
      </rPr>
      <t xml:space="preserve">운동기록 애플리케이션의 요구사항과 기능을 정의한다</t>
    </r>
    <r>
      <rPr>
        <sz val="10"/>
        <rFont val="Malgun Gothic"/>
        <family val="0"/>
        <charset val="1"/>
      </rPr>
      <t xml:space="preserve">. PT(</t>
    </r>
    <r>
      <rPr>
        <sz val="10"/>
        <rFont val="Noto Sans CJK SC"/>
        <family val="2"/>
      </rPr>
      <t xml:space="preserve">퍼스널 트레이닝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를 통해 학습한 개별 동작을 체계적으로 기록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복기하고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누적된 기록을 강도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볼륨 관점에서 분석하여 점진적 과부하를 데이터로 관리하는 것을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목표로 한다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</si>
  <si>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1"/>
        <color rgb="FFFFFFFF"/>
        <rFont val="Malgun Gothic"/>
        <family val="0"/>
        <charset val="1"/>
      </rPr>
      <t xml:space="preserve">1.2 </t>
    </r>
    <r>
      <rPr>
        <b val="true"/>
        <sz val="11"/>
        <color rgb="FFFFFFFF"/>
        <rFont val="Noto Sans CJK SC"/>
        <family val="2"/>
      </rPr>
      <t xml:space="preserve">범위</t>
    </r>
  </si>
  <si>
    <r>
      <rPr>
        <b val="true"/>
        <sz val="10"/>
        <rFont val="Noto Sans CJK SC"/>
        <family val="2"/>
      </rPr>
      <t xml:space="preserve">포함</t>
    </r>
    <r>
      <rPr>
        <b val="true"/>
        <sz val="10"/>
        <rFont val="Malgun Gothic"/>
        <family val="0"/>
        <charset val="1"/>
      </rPr>
      <t xml:space="preserve">(In Scope)</t>
    </r>
  </si>
  <si>
    <r>
      <rPr>
        <sz val="10"/>
        <rFont val="Noto Sans CJK SC"/>
        <family val="2"/>
      </rPr>
      <t xml:space="preserve">운동기록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종목 관리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루틴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프로그램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캘린더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리포트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신체데이터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보조도구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타이머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계산기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로컬 저장 및 개인 서버 동기화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백업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복구</t>
    </r>
  </si>
  <si>
    <r>
      <rPr>
        <b val="true"/>
        <sz val="10"/>
        <rFont val="Noto Sans CJK SC"/>
        <family val="2"/>
      </rPr>
      <t xml:space="preserve">제외</t>
    </r>
    <r>
      <rPr>
        <b val="true"/>
        <sz val="10"/>
        <rFont val="Malgun Gothic"/>
        <family val="0"/>
        <charset val="1"/>
      </rPr>
      <t xml:space="preserve">(Out of Scope)</t>
    </r>
  </si>
  <si>
    <r>
      <rPr>
        <sz val="10"/>
        <rFont val="Noto Sans CJK SC"/>
        <family val="2"/>
      </rPr>
      <t xml:space="preserve">소셜 기능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친구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피드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랭킹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트레이너 매칭 및 코칭 상거래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인앱 결제 및 구독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광고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커머스 연동</t>
    </r>
    <r>
      <rPr>
        <sz val="10"/>
        <rFont val="Malgun Gothic"/>
        <family val="0"/>
        <charset val="1"/>
      </rPr>
      <t xml:space="preserve">, iOS </t>
    </r>
    <r>
      <rPr>
        <sz val="10"/>
        <rFont val="Noto Sans CJK SC"/>
        <family val="2"/>
      </rPr>
      <t xml:space="preserve">클라이언트</t>
    </r>
  </si>
  <si>
    <t xml:space="preserve">후속 검토</t>
  </si>
  <si>
    <r>
      <rPr>
        <sz val="10"/>
        <rFont val="Malgun Gothic"/>
        <family val="0"/>
        <charset val="1"/>
      </rPr>
      <t xml:space="preserve">Wear OS </t>
    </r>
    <r>
      <rPr>
        <sz val="10"/>
        <rFont val="Noto Sans CJK SC"/>
        <family val="2"/>
      </rPr>
      <t xml:space="preserve">워치 앱</t>
    </r>
    <r>
      <rPr>
        <sz val="10"/>
        <rFont val="Malgun Gothic"/>
        <family val="0"/>
        <charset val="1"/>
      </rPr>
      <t xml:space="preserve">, Health Connect </t>
    </r>
    <r>
      <rPr>
        <sz val="10"/>
        <rFont val="Noto Sans CJK SC"/>
        <family val="2"/>
      </rPr>
      <t xml:space="preserve">연동</t>
    </r>
    <r>
      <rPr>
        <sz val="10"/>
        <rFont val="Malgun Gothic"/>
        <family val="0"/>
        <charset val="1"/>
      </rPr>
      <t xml:space="preserve">, AI </t>
    </r>
    <r>
      <rPr>
        <sz val="10"/>
        <rFont val="Noto Sans CJK SC"/>
        <family val="2"/>
      </rPr>
      <t xml:space="preserve">기록 해석 어시스턴트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음식 이미지 인식</t>
    </r>
  </si>
  <si>
    <r>
      <rPr>
        <b val="true"/>
        <sz val="11"/>
        <color rgb="FFFFFFFF"/>
        <rFont val="Malgun Gothic"/>
        <family val="0"/>
        <charset val="1"/>
      </rPr>
      <t xml:space="preserve">1.3 </t>
    </r>
    <r>
      <rPr>
        <b val="true"/>
        <sz val="11"/>
        <color rgb="FFFFFFFF"/>
        <rFont val="Noto Sans CJK SC"/>
        <family val="2"/>
      </rPr>
      <t xml:space="preserve">산출물 통계 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 자동 집계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</si>
  <si>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구분</t>
  </si>
  <si>
    <t xml:space="preserve">항목</t>
  </si>
  <si>
    <t xml:space="preserve">건수</t>
  </si>
  <si>
    <t xml:space="preserve">산출 기준</t>
  </si>
  <si>
    <t xml:space="preserve">비고</t>
  </si>
  <si>
    <t xml:space="preserve">요구사항</t>
  </si>
  <si>
    <t xml:space="preserve">총 요구사항 건수</t>
  </si>
  <si>
    <r>
      <rPr>
        <sz val="10"/>
        <rFont val="Noto Sans CJK SC"/>
        <family val="2"/>
      </rPr>
      <t xml:space="preserve">요구사항정의서 시트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컬럼</t>
    </r>
  </si>
  <si>
    <t xml:space="preserve">기능 요구사항</t>
  </si>
  <si>
    <r>
      <rPr>
        <sz val="10"/>
        <rFont val="Noto Sans CJK SC"/>
        <family val="2"/>
      </rPr>
      <t xml:space="preserve">구분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기능</t>
    </r>
  </si>
  <si>
    <t xml:space="preserve">비기능 요구사항</t>
  </si>
  <si>
    <r>
      <rPr>
        <sz val="10"/>
        <rFont val="Noto Sans CJK SC"/>
        <family val="2"/>
      </rPr>
      <t xml:space="preserve">구분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비기능</t>
    </r>
  </si>
  <si>
    <r>
      <rPr>
        <sz val="10"/>
        <rFont val="Noto Sans CJK SC"/>
        <family val="2"/>
      </rPr>
      <t xml:space="preserve">중요도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상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</si>
  <si>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중요도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상</t>
    </r>
  </si>
  <si>
    <r>
      <rPr>
        <sz val="10"/>
        <rFont val="Malgun Gothic"/>
        <family val="0"/>
        <charset val="1"/>
      </rPr>
      <t xml:space="preserve">MVP </t>
    </r>
    <r>
      <rPr>
        <sz val="10"/>
        <rFont val="Noto Sans CJK SC"/>
        <family val="2"/>
      </rPr>
      <t xml:space="preserve">필수 후보</t>
    </r>
  </si>
  <si>
    <r>
      <rPr>
        <sz val="10"/>
        <rFont val="Noto Sans CJK SC"/>
        <family val="2"/>
      </rPr>
      <t xml:space="preserve">중요도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중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</si>
  <si>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중요도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중</t>
    </r>
  </si>
  <si>
    <r>
      <rPr>
        <sz val="10"/>
        <rFont val="Noto Sans CJK SC"/>
        <family val="2"/>
      </rPr>
      <t xml:space="preserve">중요도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하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</si>
  <si>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중요도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하</t>
    </r>
  </si>
  <si>
    <t xml:space="preserve">기능</t>
  </si>
  <si>
    <t xml:space="preserve">총 기능 건수</t>
  </si>
  <si>
    <r>
      <rPr>
        <sz val="10"/>
        <rFont val="Noto Sans CJK SC"/>
        <family val="2"/>
      </rPr>
      <t xml:space="preserve">기능정의서 시트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컬럼</t>
    </r>
  </si>
  <si>
    <t xml:space="preserve">Phase 1 (MVP)</t>
  </si>
  <si>
    <r>
      <rPr>
        <sz val="10"/>
        <rFont val="Noto Sans CJK SC"/>
        <family val="2"/>
      </rPr>
      <t xml:space="preserve">릴리즈 </t>
    </r>
    <r>
      <rPr>
        <sz val="10"/>
        <rFont val="Malgun Gothic"/>
        <family val="0"/>
        <charset val="1"/>
      </rPr>
      <t xml:space="preserve">= Phase 1</t>
    </r>
  </si>
  <si>
    <t xml:space="preserve">핵심 기록 루프</t>
  </si>
  <si>
    <t xml:space="preserve">Phase 2</t>
  </si>
  <si>
    <r>
      <rPr>
        <sz val="10"/>
        <rFont val="Noto Sans CJK SC"/>
        <family val="2"/>
      </rPr>
      <t xml:space="preserve">릴리즈 </t>
    </r>
    <r>
      <rPr>
        <sz val="10"/>
        <rFont val="Malgun Gothic"/>
        <family val="0"/>
        <charset val="1"/>
      </rPr>
      <t xml:space="preserve">= Phase 2</t>
    </r>
  </si>
  <si>
    <r>
      <rPr>
        <sz val="10"/>
        <rFont val="Noto Sans CJK SC"/>
        <family val="2"/>
      </rPr>
      <t xml:space="preserve">분석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동기화</t>
    </r>
  </si>
  <si>
    <t xml:space="preserve">Phase 3</t>
  </si>
  <si>
    <r>
      <rPr>
        <sz val="10"/>
        <rFont val="Noto Sans CJK SC"/>
        <family val="2"/>
      </rPr>
      <t xml:space="preserve">릴리즈 </t>
    </r>
    <r>
      <rPr>
        <sz val="10"/>
        <rFont val="Malgun Gothic"/>
        <family val="0"/>
        <charset val="1"/>
      </rPr>
      <t xml:space="preserve">= Phase 3</t>
    </r>
  </si>
  <si>
    <r>
      <rPr>
        <sz val="10"/>
        <rFont val="Noto Sans CJK SC"/>
        <family val="2"/>
      </rPr>
      <t xml:space="preserve">식단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워치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확장</t>
    </r>
  </si>
  <si>
    <t xml:space="preserve">화면</t>
  </si>
  <si>
    <t xml:space="preserve">총 화면 건수</t>
  </si>
  <si>
    <r>
      <rPr>
        <sz val="10"/>
        <rFont val="Noto Sans CJK SC"/>
        <family val="2"/>
      </rPr>
      <t xml:space="preserve">화면목록 시트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컬럼</t>
    </r>
  </si>
  <si>
    <t xml:space="preserve">데이터</t>
  </si>
  <si>
    <t xml:space="preserve">총 엔티티 건수</t>
  </si>
  <si>
    <r>
      <rPr>
        <sz val="10"/>
        <rFont val="Noto Sans CJK SC"/>
        <family val="2"/>
      </rPr>
      <t xml:space="preserve">엔티티목록 시트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컬럼</t>
    </r>
  </si>
  <si>
    <r>
      <rPr>
        <b val="true"/>
        <sz val="11"/>
        <color rgb="FFFFFFFF"/>
        <rFont val="Malgun Gothic"/>
        <family val="0"/>
        <charset val="1"/>
      </rPr>
      <t xml:space="preserve">1.4 </t>
    </r>
    <r>
      <rPr>
        <b val="true"/>
        <sz val="11"/>
        <color rgb="FFFFFFFF"/>
        <rFont val="Noto Sans CJK SC"/>
        <family val="2"/>
      </rPr>
      <t xml:space="preserve">용어 정의</t>
    </r>
  </si>
  <si>
    <t xml:space="preserve">용어</t>
  </si>
  <si>
    <t xml:space="preserve">설명</t>
  </si>
  <si>
    <t xml:space="preserve">1RM</t>
  </si>
  <si>
    <r>
      <rPr>
        <sz val="10"/>
        <rFont val="Malgun Gothic"/>
        <family val="0"/>
        <charset val="1"/>
      </rPr>
      <t xml:space="preserve">One Rep Max. 1</t>
    </r>
    <r>
      <rPr>
        <sz val="10"/>
        <rFont val="Noto Sans CJK SC"/>
        <family val="2"/>
      </rPr>
      <t xml:space="preserve">회 수행 가능한 최대 중량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본 앱에서는 실측이 아닌 세트 기록 기반 추정값</t>
    </r>
    <r>
      <rPr>
        <sz val="10"/>
        <rFont val="Malgun Gothic"/>
        <family val="0"/>
        <charset val="1"/>
      </rPr>
      <t xml:space="preserve">(Epley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사용한다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</si>
  <si>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볼륨 </t>
    </r>
    <r>
      <rPr>
        <b val="true"/>
        <sz val="10"/>
        <rFont val="Malgun Gothic"/>
        <family val="0"/>
        <charset val="1"/>
      </rPr>
      <t xml:space="preserve">(Volume)</t>
    </r>
  </si>
  <si>
    <r>
      <rPr>
        <sz val="10"/>
        <rFont val="Malgun Gothic"/>
        <family val="0"/>
        <charset val="1"/>
      </rPr>
      <t xml:space="preserve">Σ(</t>
    </r>
    <r>
      <rPr>
        <sz val="10"/>
        <rFont val="Noto Sans CJK SC"/>
        <family val="2"/>
      </rPr>
      <t xml:space="preserve">중량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횟수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수행한 총 물리적 작업량 지표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웜업 세트는 집계에서 제외한다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</si>
  <si>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강도 </t>
    </r>
    <r>
      <rPr>
        <b val="true"/>
        <sz val="10"/>
        <rFont val="Malgun Gothic"/>
        <family val="0"/>
        <charset val="1"/>
      </rPr>
      <t xml:space="preserve">(Intensity)</t>
    </r>
  </si>
  <si>
    <r>
      <rPr>
        <sz val="10"/>
        <rFont val="Noto Sans CJK SC"/>
        <family val="2"/>
      </rPr>
      <t xml:space="preserve">해당 세트 중량 </t>
    </r>
    <r>
      <rPr>
        <sz val="10"/>
        <rFont val="Malgun Gothic"/>
        <family val="0"/>
        <charset val="1"/>
      </rPr>
      <t xml:space="preserve">÷ </t>
    </r>
    <r>
      <rPr>
        <sz val="10"/>
        <rFont val="Noto Sans CJK SC"/>
        <family val="2"/>
      </rPr>
      <t xml:space="preserve">추정 </t>
    </r>
    <r>
      <rPr>
        <sz val="10"/>
        <rFont val="Malgun Gothic"/>
        <family val="0"/>
        <charset val="1"/>
      </rPr>
      <t xml:space="preserve">1RM × 100(%). </t>
    </r>
    <r>
      <rPr>
        <sz val="10"/>
        <rFont val="Noto Sans CJK SC"/>
        <family val="2"/>
      </rPr>
      <t xml:space="preserve">근력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근비대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근지속력 구간 판정에 사용한다</t>
    </r>
    <r>
      <rPr>
        <sz val="10"/>
        <rFont val="Malgun Gothic"/>
        <family val="0"/>
        <charset val="1"/>
      </rPr>
      <t xml:space="preserve">.</t>
    </r>
  </si>
  <si>
    <t xml:space="preserve">RPE / RIR</t>
  </si>
  <si>
    <r>
      <rPr>
        <sz val="10"/>
        <rFont val="Malgun Gothic"/>
        <family val="0"/>
        <charset val="1"/>
      </rPr>
      <t xml:space="preserve">RPE</t>
    </r>
    <r>
      <rPr>
        <sz val="10"/>
        <rFont val="Noto Sans CJK SC"/>
        <family val="2"/>
      </rPr>
      <t xml:space="preserve">는 자각적 운동강도</t>
    </r>
    <r>
      <rPr>
        <sz val="10"/>
        <rFont val="Malgun Gothic"/>
        <family val="0"/>
        <charset val="1"/>
      </rPr>
      <t xml:space="preserve">(1~10), RIR</t>
    </r>
    <r>
      <rPr>
        <sz val="10"/>
        <rFont val="Noto Sans CJK SC"/>
        <family val="2"/>
      </rPr>
      <t xml:space="preserve">은 남은 반복 여유 횟수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주관적 강도 지표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</si>
  <si>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루틴 </t>
    </r>
    <r>
      <rPr>
        <b val="true"/>
        <sz val="10"/>
        <rFont val="Malgun Gothic"/>
        <family val="0"/>
        <charset val="1"/>
      </rPr>
      <t xml:space="preserve">(Routine)</t>
    </r>
  </si>
  <si>
    <r>
      <rPr>
        <sz val="10"/>
        <rFont val="Noto Sans CJK SC"/>
        <family val="2"/>
      </rPr>
      <t xml:space="preserve">반복 수행하는 종목 묶음 템플릿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 기록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일지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과 분리되어 관리된다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</si>
  <si>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분할 </t>
    </r>
    <r>
      <rPr>
        <b val="true"/>
        <sz val="10"/>
        <rFont val="Malgun Gothic"/>
        <family val="0"/>
        <charset val="1"/>
      </rPr>
      <t xml:space="preserve">(Split)</t>
    </r>
  </si>
  <si>
    <r>
      <rPr>
        <sz val="10"/>
        <rFont val="Noto Sans CJK SC"/>
        <family val="2"/>
      </rPr>
      <t xml:space="preserve">복수 루틴을 요일 또는 순환 순서로 배정한 주간 운동 구성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3</t>
    </r>
    <r>
      <rPr>
        <sz val="10"/>
        <rFont val="Noto Sans CJK SC"/>
        <family val="2"/>
      </rPr>
      <t xml:space="preserve">분할</t>
    </r>
    <r>
      <rPr>
        <sz val="10"/>
        <rFont val="Malgun Gothic"/>
        <family val="0"/>
        <charset val="1"/>
      </rPr>
      <t xml:space="preserve">, 5</t>
    </r>
    <r>
      <rPr>
        <sz val="10"/>
        <rFont val="Noto Sans CJK SC"/>
        <family val="2"/>
      </rPr>
      <t xml:space="preserve">분할</t>
    </r>
    <r>
      <rPr>
        <sz val="10"/>
        <rFont val="Malgun Gothic"/>
        <family val="0"/>
        <charset val="1"/>
      </rPr>
      <t xml:space="preserve">).</t>
    </r>
  </si>
  <si>
    <t xml:space="preserve">점진적 과부하</t>
  </si>
  <si>
    <r>
      <rPr>
        <sz val="10"/>
        <rFont val="Noto Sans CJK SC"/>
        <family val="2"/>
      </rPr>
      <t xml:space="preserve">일정 조건 충족 시 목표 중량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횟수를 단계적으로 증가시켜 자극을 유지하는 훈련 원칙</t>
    </r>
    <r>
      <rPr>
        <sz val="10"/>
        <rFont val="Malgun Gothic"/>
        <family val="0"/>
        <charset val="1"/>
      </rPr>
      <t xml:space="preserve">.</t>
    </r>
  </si>
  <si>
    <t xml:space="preserve">드랍 세트</t>
  </si>
  <si>
    <r>
      <rPr>
        <sz val="10"/>
        <rFont val="Noto Sans CJK SC"/>
        <family val="2"/>
      </rPr>
      <t xml:space="preserve">목표 횟수 실패 후 중량을 즉시 낮춰 이어서 수행하는 세트</t>
    </r>
    <r>
      <rPr>
        <sz val="10"/>
        <rFont val="Malgun Gothic"/>
        <family val="0"/>
        <charset val="1"/>
      </rPr>
      <t xml:space="preserve">.</t>
    </r>
  </si>
  <si>
    <t xml:space="preserve">슈퍼세트</t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</si>
  <si>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 이상 종목을 휴식 없이 연속 수행하는 세트 구성</t>
    </r>
    <r>
      <rPr>
        <sz val="10"/>
        <rFont val="Malgun Gothic"/>
        <family val="0"/>
        <charset val="1"/>
      </rPr>
      <t xml:space="preserve">.</t>
    </r>
  </si>
  <si>
    <t xml:space="preserve">눈바디</t>
  </si>
  <si>
    <r>
      <rPr>
        <sz val="10"/>
        <rFont val="Noto Sans CJK SC"/>
        <family val="2"/>
      </rPr>
      <t xml:space="preserve">체중계 수치가 아닌 외형 변화를 사진으로 비교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확인하는 기록 방식</t>
    </r>
    <r>
      <rPr>
        <sz val="10"/>
        <rFont val="Malgun Gothic"/>
        <family val="0"/>
        <charset val="1"/>
      </rPr>
      <t xml:space="preserve">.</t>
    </r>
  </si>
  <si>
    <t xml:space="preserve">Tombstone</t>
  </si>
  <si>
    <r>
      <rPr>
        <sz val="10"/>
        <rFont val="Noto Sans CJK SC"/>
        <family val="2"/>
      </rPr>
      <t xml:space="preserve">동기화 환경에서 삭제 사실을 전파하기 위해 남기는 논리 삭제 기록</t>
    </r>
    <r>
      <rPr>
        <sz val="10"/>
        <rFont val="Malgun Gothic"/>
        <family val="0"/>
        <charset val="1"/>
      </rPr>
      <t xml:space="preserve">.</t>
    </r>
  </si>
  <si>
    <t xml:space="preserve">LWW</t>
  </si>
  <si>
    <r>
      <rPr>
        <sz val="10"/>
        <rFont val="Malgun Gothic"/>
        <family val="0"/>
        <charset val="1"/>
      </rPr>
      <t xml:space="preserve">Last-Write-Wins. </t>
    </r>
    <r>
      <rPr>
        <sz val="10"/>
        <rFont val="Noto Sans CJK SC"/>
        <family val="2"/>
      </rPr>
      <t xml:space="preserve">최종 수정시각이 늦은 쪽을 채택하는 동기화 충돌 해소 전략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</si>
  <si>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4"/>
        <color rgb="FF1F3864"/>
        <rFont val="Malgun Gothic"/>
        <family val="0"/>
        <charset val="1"/>
      </rPr>
      <t xml:space="preserve">2. </t>
    </r>
    <r>
      <rPr>
        <b val="true"/>
        <sz val="14"/>
        <color rgb="FF1F3864"/>
        <rFont val="Noto Sans CJK SC"/>
        <family val="2"/>
      </rPr>
      <t xml:space="preserve">요구사항정의서</t>
    </r>
  </si>
  <si>
    <r>
      <rPr>
        <i val="true"/>
        <sz val="9"/>
        <color rgb="FF595959"/>
        <rFont val="Noto Sans CJK SC"/>
        <family val="2"/>
      </rPr>
      <t xml:space="preserve">중요도</t>
    </r>
    <r>
      <rPr>
        <i val="true"/>
        <sz val="9"/>
        <color rgb="FF595959"/>
        <rFont val="Malgun Gothic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상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필수</t>
    </r>
    <r>
      <rPr>
        <i val="true"/>
        <sz val="9"/>
        <color rgb="FF595959"/>
        <rFont val="Malgun Gothic"/>
        <family val="0"/>
        <charset val="1"/>
      </rPr>
      <t xml:space="preserve">) / </t>
    </r>
    <r>
      <rPr>
        <i val="true"/>
        <sz val="9"/>
        <color rgb="FF595959"/>
        <rFont val="Noto Sans CJK SC"/>
        <family val="2"/>
      </rPr>
      <t xml:space="preserve">중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권장</t>
    </r>
    <r>
      <rPr>
        <i val="true"/>
        <sz val="9"/>
        <color rgb="FF595959"/>
        <rFont val="Malgun Gothic"/>
        <family val="0"/>
        <charset val="1"/>
      </rPr>
      <t xml:space="preserve">) / </t>
    </r>
    <r>
      <rPr>
        <i val="true"/>
        <sz val="9"/>
        <color rgb="FF595959"/>
        <rFont val="Noto Sans CJK SC"/>
        <family val="2"/>
      </rPr>
      <t xml:space="preserve">하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선택</t>
    </r>
    <r>
      <rPr>
        <i val="true"/>
        <sz val="9"/>
        <color rgb="FF595959"/>
        <rFont val="Malgun Gothic"/>
        <family val="0"/>
        <charset val="1"/>
      </rPr>
      <t xml:space="preserve">)  ·  </t>
    </r>
    <r>
      <rPr>
        <i val="true"/>
        <sz val="9"/>
        <color rgb="FF595959"/>
        <rFont val="Noto Sans CJK SC"/>
        <family val="2"/>
      </rPr>
      <t xml:space="preserve">릴리즈</t>
    </r>
    <r>
      <rPr>
        <i val="true"/>
        <sz val="9"/>
        <color rgb="FF595959"/>
        <rFont val="Malgun Gothic"/>
        <family val="0"/>
        <charset val="1"/>
      </rPr>
      <t xml:space="preserve">: Phase 1(MVP) → Phase 2 → Phase 3</t>
    </r>
  </si>
  <si>
    <r>
      <rPr>
        <b val="true"/>
        <sz val="10"/>
        <color rgb="FFFFFFFF"/>
        <rFont val="Noto Sans CJK SC"/>
        <family val="2"/>
      </rPr>
      <t xml:space="preserve">요구사항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</si>
  <si>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대분류</t>
  </si>
  <si>
    <t xml:space="preserve">중분류</t>
  </si>
  <si>
    <t xml:space="preserve">요구사항명</t>
  </si>
  <si>
    <t xml:space="preserve">요구사항 상세내용</t>
  </si>
  <si>
    <t xml:space="preserve">중요도</t>
  </si>
  <si>
    <t xml:space="preserve">난이도</t>
  </si>
  <si>
    <t xml:space="preserve">릴리즈</t>
  </si>
  <si>
    <r>
      <rPr>
        <b val="true"/>
        <sz val="10"/>
        <color rgb="FFFFFFFF"/>
        <rFont val="Noto Sans CJK SC"/>
        <family val="2"/>
      </rPr>
      <t xml:space="preserve">관련 기능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</si>
  <si>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REQ-CMN-001</t>
  </si>
  <si>
    <r>
      <rPr>
        <sz val="9"/>
        <rFont val="Noto Sans CJK SC"/>
        <family val="2"/>
      </rPr>
      <t xml:space="preserve">공통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계정</t>
    </r>
  </si>
  <si>
    <t xml:space="preserve">인증</t>
  </si>
  <si>
    <t xml:space="preserve">사용자 인증 및 로그인</t>
  </si>
  <si>
    <r>
      <rPr>
        <sz val="9"/>
        <rFont val="Noto Sans CJK SC"/>
        <family val="2"/>
      </rPr>
      <t xml:space="preserve">이메일 또는 소셜</t>
    </r>
    <r>
      <rPr>
        <sz val="9"/>
        <rFont val="Malgun Gothic"/>
        <family val="0"/>
        <charset val="1"/>
      </rPr>
      <t xml:space="preserve">(Google/Kakao) </t>
    </r>
    <r>
      <rPr>
        <sz val="9"/>
        <rFont val="Noto Sans CJK SC"/>
        <family val="2"/>
      </rPr>
      <t xml:space="preserve">계정으로 로그인한다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개인 사용 목적이므로 로그인 없이 로컬 단독 사용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게스트 모드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도 가능해야 하며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이후 계정 연결 시 로컬 데이터를 승계한다</t>
    </r>
    <r>
      <rPr>
        <sz val="9"/>
        <rFont val="Malgun Gothic"/>
        <family val="0"/>
        <charset val="1"/>
      </rPr>
      <t xml:space="preserve">.</t>
    </r>
  </si>
  <si>
    <t xml:space="preserve">상</t>
  </si>
  <si>
    <t xml:space="preserve">중</t>
  </si>
  <si>
    <t xml:space="preserve">Phase 1</t>
  </si>
  <si>
    <t xml:space="preserve">FN-CMN-001~004</t>
  </si>
  <si>
    <t xml:space="preserve">REQ-CMN-002</t>
  </si>
  <si>
    <t xml:space="preserve">프로필</t>
  </si>
  <si>
    <t xml:space="preserve">사용자 프로필 관리</t>
  </si>
  <si>
    <r>
      <rPr>
        <sz val="9"/>
        <rFont val="Noto Sans CJK SC"/>
        <family val="2"/>
      </rPr>
      <t xml:space="preserve">성별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생년월일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키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운동 경력 수준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운동 목표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다이어트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벌크업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유지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를 등록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수정한다</t>
    </r>
    <r>
      <rPr>
        <sz val="9"/>
        <rFont val="Malgun Gothic"/>
        <family val="0"/>
        <charset val="1"/>
      </rPr>
      <t xml:space="preserve">. 1RM </t>
    </r>
    <r>
      <rPr>
        <sz val="9"/>
        <rFont val="Noto Sans CJK SC"/>
        <family val="2"/>
      </rPr>
      <t xml:space="preserve">강도 분석 및 칼로리 추정의 기준 데이터로 사용된다</t>
    </r>
    <r>
      <rPr>
        <sz val="9"/>
        <rFont val="Malgun Gothic"/>
        <family val="0"/>
        <charset val="1"/>
      </rPr>
      <t xml:space="preserve">.</t>
    </r>
  </si>
  <si>
    <t xml:space="preserve">하</t>
  </si>
  <si>
    <t xml:space="preserve">FN-CMN-005~007</t>
  </si>
  <si>
    <t xml:space="preserve">REQ-CMN-003</t>
  </si>
  <si>
    <t xml:space="preserve">환경설정</t>
  </si>
  <si>
    <t xml:space="preserve">단위 체계 설정</t>
  </si>
  <si>
    <r>
      <rPr>
        <sz val="9"/>
        <rFont val="Noto Sans CJK SC"/>
        <family val="2"/>
      </rPr>
      <t xml:space="preserve">중량 단위</t>
    </r>
    <r>
      <rPr>
        <sz val="9"/>
        <rFont val="Malgun Gothic"/>
        <family val="0"/>
        <charset val="1"/>
      </rPr>
      <t xml:space="preserve">(kg/lb), </t>
    </r>
    <r>
      <rPr>
        <sz val="9"/>
        <rFont val="Noto Sans CJK SC"/>
        <family val="2"/>
      </rPr>
      <t xml:space="preserve">길이 단위</t>
    </r>
    <r>
      <rPr>
        <sz val="9"/>
        <rFont val="Malgun Gothic"/>
        <family val="0"/>
        <charset val="1"/>
      </rPr>
      <t xml:space="preserve">(cm/inch), </t>
    </r>
    <r>
      <rPr>
        <sz val="9"/>
        <rFont val="Noto Sans CJK SC"/>
        <family val="2"/>
      </rPr>
      <t xml:space="preserve">거리 단위</t>
    </r>
    <r>
      <rPr>
        <sz val="9"/>
        <rFont val="Malgun Gothic"/>
        <family val="0"/>
        <charset val="1"/>
      </rPr>
      <t xml:space="preserve">(km/mile)</t>
    </r>
    <r>
      <rPr>
        <sz val="9"/>
        <rFont val="Noto Sans CJK SC"/>
        <family val="2"/>
      </rPr>
      <t xml:space="preserve">를 선택한다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저장은 항상 </t>
    </r>
    <r>
      <rPr>
        <sz val="9"/>
        <rFont val="Malgun Gothic"/>
        <family val="0"/>
        <charset val="1"/>
      </rPr>
      <t xml:space="preserve">SI </t>
    </r>
    <r>
      <rPr>
        <sz val="9"/>
        <rFont val="Noto Sans CJK SC"/>
        <family val="2"/>
      </rPr>
      <t xml:space="preserve">기준</t>
    </r>
    <r>
      <rPr>
        <sz val="9"/>
        <rFont val="Malgun Gothic"/>
        <family val="0"/>
        <charset val="1"/>
      </rPr>
      <t xml:space="preserve">(kg, cm, km)</t>
    </r>
    <r>
      <rPr>
        <sz val="9"/>
        <rFont val="Noto Sans CJK SC"/>
        <family val="2"/>
      </rPr>
      <t xml:space="preserve">으로 하고 표시 시점에 변환한다</t>
    </r>
    <r>
      <rPr>
        <sz val="9"/>
        <rFont val="Malgun Gothic"/>
        <family val="0"/>
        <charset val="1"/>
      </rPr>
      <t xml:space="preserve">.</t>
    </r>
  </si>
  <si>
    <t xml:space="preserve">FN-CMN-008</t>
  </si>
  <si>
    <t xml:space="preserve">REQ-CMN-004</t>
  </si>
  <si>
    <t xml:space="preserve">온보딩</t>
  </si>
  <si>
    <t xml:space="preserve">최초 실행 온보딩</t>
  </si>
  <si>
    <r>
      <rPr>
        <sz val="9"/>
        <rFont val="Noto Sans CJK SC"/>
        <family val="2"/>
      </rPr>
      <t xml:space="preserve">앱 최초 설치 시 프로필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단위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주 운동 요일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기본 휴식시간을 입력받는 </t>
    </r>
    <r>
      <rPr>
        <sz val="9"/>
        <rFont val="Malgun Gothic"/>
        <family val="0"/>
        <charset val="1"/>
      </rPr>
      <t xml:space="preserve">3~4</t>
    </r>
    <r>
      <rPr>
        <sz val="9"/>
        <rFont val="Noto Sans CJK SC"/>
        <family val="2"/>
      </rPr>
      <t xml:space="preserve">단계 위저드를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모든 단계는 건너뛰기 가능하며 기본값으로 대체된다</t>
    </r>
    <r>
      <rPr>
        <sz val="9"/>
        <rFont val="Malgun Gothic"/>
        <family val="0"/>
        <charset val="1"/>
      </rPr>
      <t xml:space="preserve">.</t>
    </r>
  </si>
  <si>
    <t xml:space="preserve">FN-CMN-009</t>
  </si>
  <si>
    <t xml:space="preserve">REQ-CMN-005</t>
  </si>
  <si>
    <t xml:space="preserve">테마 및 다크모드</t>
  </si>
  <si>
    <r>
      <rPr>
        <sz val="9"/>
        <rFont val="Noto Sans CJK SC"/>
        <family val="2"/>
      </rPr>
      <t xml:space="preserve">시스템 설정 연동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라이트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다크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가지 모드를 지원한다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헬스장 조명 환경을 고려해 다크모드를 기본값으로 한다</t>
    </r>
    <r>
      <rPr>
        <sz val="9"/>
        <rFont val="Malgun Gothic"/>
        <family val="0"/>
        <charset val="1"/>
      </rPr>
      <t xml:space="preserve">.</t>
    </r>
  </si>
  <si>
    <t xml:space="preserve">FN-CMN-010</t>
  </si>
  <si>
    <t xml:space="preserve">REQ-CMN-006</t>
  </si>
  <si>
    <t xml:space="preserve">다국어 지원</t>
  </si>
  <si>
    <r>
      <rPr>
        <sz val="9"/>
        <rFont val="Noto Sans CJK SC"/>
        <family val="2"/>
      </rPr>
      <t xml:space="preserve">한국어를 기본으로 하되 문자열 리소스를 외부화하여 영어 추가가 가능한 구조로 구현한다</t>
    </r>
    <r>
      <rPr>
        <sz val="9"/>
        <rFont val="Malgun Gothic"/>
        <family val="0"/>
        <charset val="1"/>
      </rPr>
      <t xml:space="preserve">.</t>
    </r>
  </si>
  <si>
    <t xml:space="preserve">FN-CMN-011</t>
  </si>
  <si>
    <t xml:space="preserve">REQ-EXR-001</t>
  </si>
  <si>
    <t xml:space="preserve">운동종목</t>
  </si>
  <si>
    <t xml:space="preserve">마스터</t>
  </si>
  <si>
    <t xml:space="preserve">기본 종목 라이브러리 제공</t>
  </si>
  <si>
    <r>
      <rPr>
        <sz val="9"/>
        <rFont val="Noto Sans CJK SC"/>
        <family val="2"/>
      </rPr>
      <t xml:space="preserve">웨이트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맨몸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유산소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스트레칭을 포함한 </t>
    </r>
    <r>
      <rPr>
        <sz val="9"/>
        <rFont val="Malgun Gothic"/>
        <family val="0"/>
        <charset val="1"/>
      </rPr>
      <t xml:space="preserve">300</t>
    </r>
    <r>
      <rPr>
        <sz val="9"/>
        <rFont val="Noto Sans CJK SC"/>
        <family val="2"/>
      </rPr>
      <t xml:space="preserve">종 이상의 기본 종목 마스터 데이터를 앱 내장</t>
    </r>
    <r>
      <rPr>
        <sz val="9"/>
        <rFont val="Malgun Gothic"/>
        <family val="0"/>
        <charset val="1"/>
      </rPr>
      <t xml:space="preserve">(pre-populated DB)</t>
    </r>
    <r>
      <rPr>
        <sz val="9"/>
        <rFont val="Noto Sans CJK SC"/>
        <family val="2"/>
      </rPr>
      <t xml:space="preserve">으로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최초 실행 시 네트워크 없이 사용 가능해야 한다</t>
    </r>
    <r>
      <rPr>
        <sz val="9"/>
        <rFont val="Malgun Gothic"/>
        <family val="0"/>
        <charset val="1"/>
      </rPr>
      <t xml:space="preserve">.</t>
    </r>
  </si>
  <si>
    <t xml:space="preserve">FN-EXR-001</t>
  </si>
  <si>
    <t xml:space="preserve">REQ-EXR-002</t>
  </si>
  <si>
    <t xml:space="preserve">분류</t>
  </si>
  <si>
    <t xml:space="preserve">종목 분류 체계</t>
  </si>
  <si>
    <r>
      <rPr>
        <sz val="9"/>
        <rFont val="Noto Sans CJK SC"/>
        <family val="2"/>
      </rPr>
      <t xml:space="preserve">종목은 주동근 부위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가슴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등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어깨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하체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팔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복부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전신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보조근 부위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장비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바벨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덤벨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머신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케이블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맨몸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기타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운동 유형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웨이트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유산소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맨몸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동작 성격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다관절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단일관절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으로 다차원 분류한다</t>
    </r>
    <r>
      <rPr>
        <sz val="9"/>
        <rFont val="Malgun Gothic"/>
        <family val="0"/>
        <charset val="1"/>
      </rPr>
      <t xml:space="preserve">.</t>
    </r>
  </si>
  <si>
    <t xml:space="preserve">FN-EXR-002</t>
  </si>
  <si>
    <t xml:space="preserve">REQ-EXR-003</t>
  </si>
  <si>
    <t xml:space="preserve">상세</t>
  </si>
  <si>
    <t xml:space="preserve">종목 상세정보 조회</t>
  </si>
  <si>
    <r>
      <rPr>
        <sz val="9"/>
        <rFont val="Noto Sans CJK SC"/>
        <family val="2"/>
      </rPr>
      <t xml:space="preserve">종목별 수행 방법 설명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주의사항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주동근 도해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등록한 참고 영상 </t>
    </r>
    <r>
      <rPr>
        <sz val="9"/>
        <rFont val="Malgun Gothic"/>
        <family val="0"/>
        <charset val="1"/>
      </rPr>
      <t xml:space="preserve">URL</t>
    </r>
    <r>
      <rPr>
        <sz val="9"/>
        <rFont val="Noto Sans CJK SC"/>
        <family val="2"/>
      </rPr>
      <t xml:space="preserve">을 조회한다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상용 앱의 동작 애니메이션 에셋은 저작권 문제로 사용하지 않고 자체 텍스트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링크로 대체한다</t>
    </r>
    <r>
      <rPr>
        <sz val="9"/>
        <rFont val="Malgun Gothic"/>
        <family val="0"/>
        <charset val="1"/>
      </rPr>
      <t xml:space="preserve">.</t>
    </r>
  </si>
  <si>
    <t xml:space="preserve">FN-EXR-003~004</t>
  </si>
  <si>
    <t xml:space="preserve">REQ-EXR-004</t>
  </si>
  <si>
    <t xml:space="preserve">사용자 정의 종목 관리</t>
  </si>
  <si>
    <r>
      <rPr>
        <sz val="9"/>
        <rFont val="Noto Sans CJK SC"/>
        <family val="2"/>
      </rPr>
      <t xml:space="preserve">기본 라이브러리에 없는 종목을 사용자가 직접 등록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수정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기록이 존재하는 종목은 물리 삭제 대신 비활성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숨김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처리한다</t>
    </r>
    <r>
      <rPr>
        <sz val="9"/>
        <rFont val="Malgun Gothic"/>
        <family val="0"/>
        <charset val="1"/>
      </rPr>
      <t xml:space="preserve">.</t>
    </r>
  </si>
  <si>
    <t xml:space="preserve">FN-EXR-005~007</t>
  </si>
  <si>
    <t xml:space="preserve">REQ-EXR-005</t>
  </si>
  <si>
    <t xml:space="preserve">검색</t>
  </si>
  <si>
    <t xml:space="preserve">종목 검색 및 필터</t>
  </si>
  <si>
    <r>
      <rPr>
        <sz val="9"/>
        <rFont val="Noto Sans CJK SC"/>
        <family val="2"/>
      </rPr>
      <t xml:space="preserve">종목명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한글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영문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초성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부분 일치 검색과 부위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장비별 필터를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검색 결과는 </t>
    </r>
    <r>
      <rPr>
        <sz val="9"/>
        <rFont val="Malgun Gothic"/>
        <family val="0"/>
        <charset val="1"/>
      </rPr>
      <t xml:space="preserve">300ms </t>
    </r>
    <r>
      <rPr>
        <sz val="9"/>
        <rFont val="Noto Sans CJK SC"/>
        <family val="2"/>
      </rPr>
      <t xml:space="preserve">이내에 표시된다</t>
    </r>
    <r>
      <rPr>
        <sz val="9"/>
        <rFont val="Malgun Gothic"/>
        <family val="0"/>
        <charset val="1"/>
      </rPr>
      <t xml:space="preserve">.</t>
    </r>
  </si>
  <si>
    <t xml:space="preserve">FN-EXR-008~009</t>
  </si>
  <si>
    <t xml:space="preserve">REQ-EXR-006</t>
  </si>
  <si>
    <t xml:space="preserve">편의</t>
  </si>
  <si>
    <t xml:space="preserve">즐겨찾기 및 최근 사용 종목</t>
  </si>
  <si>
    <r>
      <rPr>
        <sz val="9"/>
        <rFont val="Noto Sans CJK SC"/>
        <family val="2"/>
      </rPr>
      <t xml:space="preserve">종목 즐겨찾기 등록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해제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 사용 종목 </t>
    </r>
    <r>
      <rPr>
        <sz val="9"/>
        <rFont val="Malgun Gothic"/>
        <family val="0"/>
        <charset val="1"/>
      </rPr>
      <t xml:space="preserve">20</t>
    </r>
    <r>
      <rPr>
        <sz val="9"/>
        <rFont val="Noto Sans CJK SC"/>
        <family val="2"/>
      </rPr>
      <t xml:space="preserve">건 자동 목록화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종목 선택 화면 진입 시 최근 사용 목록을 최상단에 노출한다</t>
    </r>
    <r>
      <rPr>
        <sz val="9"/>
        <rFont val="Malgun Gothic"/>
        <family val="0"/>
        <charset val="1"/>
      </rPr>
      <t xml:space="preserve">.</t>
    </r>
  </si>
  <si>
    <t xml:space="preserve">FN-EXR-010~011</t>
  </si>
  <si>
    <t xml:space="preserve">REQ-EXR-007</t>
  </si>
  <si>
    <t xml:space="preserve">기록규격</t>
  </si>
  <si>
    <t xml:space="preserve">종목별 기록 필드 정의</t>
  </si>
  <si>
    <r>
      <rPr>
        <sz val="9"/>
        <rFont val="Noto Sans CJK SC"/>
        <family val="2"/>
      </rPr>
      <t xml:space="preserve">종목 유형에 따라 입력 필드 세트를 달리 적용한다</t>
    </r>
    <r>
      <rPr>
        <sz val="9"/>
        <rFont val="Malgun Gothic"/>
        <family val="0"/>
        <charset val="1"/>
      </rPr>
      <t xml:space="preserve">. (①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횟수 ②횟수만 ③시간 ④거리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시간 ⑤중량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시간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신규 종목 등록 시 기록 유형을 지정한다</t>
    </r>
    <r>
      <rPr>
        <sz val="9"/>
        <rFont val="Malgun Gothic"/>
        <family val="0"/>
        <charset val="1"/>
      </rPr>
      <t xml:space="preserve">.</t>
    </r>
  </si>
  <si>
    <t xml:space="preserve">FN-EXR-012</t>
  </si>
  <si>
    <t xml:space="preserve">REQ-EXR-008</t>
  </si>
  <si>
    <t xml:space="preserve">학습</t>
  </si>
  <si>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노트</t>
    </r>
  </si>
  <si>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세션에서 배운 자세 큐잉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호흡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주의점을 종목별로 누적 기록하고 해당 종목 수행 화면에서 즉시 열람한다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항목별 작성일과 트레이너명을 함께 보관한다</t>
    </r>
    <r>
      <rPr>
        <sz val="9"/>
        <rFont val="Malgun Gothic"/>
        <family val="0"/>
        <charset val="1"/>
      </rPr>
      <t xml:space="preserve">.</t>
    </r>
  </si>
  <si>
    <t xml:space="preserve">FN-EXR-013~015</t>
  </si>
  <si>
    <t xml:space="preserve">REQ-WRK-001</t>
  </si>
  <si>
    <t xml:space="preserve">운동기록</t>
  </si>
  <si>
    <t xml:space="preserve">일지</t>
  </si>
  <si>
    <t xml:space="preserve">일자별 운동일지 관리</t>
  </si>
  <si>
    <r>
      <rPr>
        <sz val="9"/>
        <rFont val="Noto Sans CJK SC"/>
        <family val="2"/>
      </rPr>
      <t xml:space="preserve">특정 일자의 운동일지를 생성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조회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수정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과거 일자 소급 입력과 미래 일자 계획 등록을 모두 허용한다</t>
    </r>
    <r>
      <rPr>
        <sz val="9"/>
        <rFont val="Malgun Gothic"/>
        <family val="0"/>
        <charset val="1"/>
      </rPr>
      <t xml:space="preserve">.</t>
    </r>
  </si>
  <si>
    <t xml:space="preserve">FN-WRK-001~004</t>
  </si>
  <si>
    <t xml:space="preserve">REQ-WRK-002</t>
  </si>
  <si>
    <t xml:space="preserve">회차별 일지 분리</t>
  </si>
  <si>
    <r>
      <rPr>
        <sz val="9"/>
        <rFont val="Noto Sans CJK SC"/>
        <family val="2"/>
      </rPr>
      <t xml:space="preserve">하루 최대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회차까지 운동일지를 분리 저장한다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회차별로 명칭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Malgun Gothic"/>
        <family val="0"/>
        <charset val="1"/>
      </rPr>
      <t xml:space="preserve">: </t>
    </r>
    <r>
      <rPr>
        <sz val="9"/>
        <rFont val="Noto Sans CJK SC"/>
        <family val="2"/>
      </rPr>
      <t xml:space="preserve">오전 헬스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저녁 홈트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과 루틴을 각각 지정할 수 있다</t>
    </r>
    <r>
      <rPr>
        <sz val="9"/>
        <rFont val="Malgun Gothic"/>
        <family val="0"/>
        <charset val="1"/>
      </rPr>
      <t xml:space="preserve">.</t>
    </r>
  </si>
  <si>
    <t xml:space="preserve">FN-WRK-005~006</t>
  </si>
  <si>
    <t xml:space="preserve">REQ-WRK-003</t>
  </si>
  <si>
    <t xml:space="preserve">세트입력</t>
  </si>
  <si>
    <t xml:space="preserve">세트 단위 기록 입력</t>
  </si>
  <si>
    <r>
      <rPr>
        <sz val="9"/>
        <rFont val="Noto Sans CJK SC"/>
        <family val="2"/>
      </rPr>
      <t xml:space="preserve">종목별로 세트를 추가하고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횟수를 입력한다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한 세트 입력은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회 이하 터치로 완료되어야 하며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숫자 입력은 전용 키패드와 </t>
    </r>
    <r>
      <rPr>
        <sz val="9"/>
        <rFont val="Malgun Gothic"/>
        <family val="0"/>
        <charset val="1"/>
      </rPr>
      <t xml:space="preserve">±</t>
    </r>
    <r>
      <rPr>
        <sz val="9"/>
        <rFont val="Noto Sans CJK SC"/>
        <family val="2"/>
      </rPr>
      <t xml:space="preserve">증감 버튼을 함께 제공한다</t>
    </r>
    <r>
      <rPr>
        <sz val="9"/>
        <rFont val="Malgun Gothic"/>
        <family val="0"/>
        <charset val="1"/>
      </rPr>
      <t xml:space="preserve">.</t>
    </r>
  </si>
  <si>
    <t xml:space="preserve">FN-WRK-007~010</t>
  </si>
  <si>
    <t xml:space="preserve">REQ-WRK-004</t>
  </si>
  <si>
    <t xml:space="preserve">세트 타입 구분</t>
  </si>
  <si>
    <r>
      <rPr>
        <sz val="9"/>
        <rFont val="Noto Sans CJK SC"/>
        <family val="2"/>
      </rPr>
      <t xml:space="preserve">각 세트를 정상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웜업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드랍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실패 세트로 구분한다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웜업 세트는 총 볼륨 및 강도 분석 집계에서 제외한다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슈퍼세트는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개 이상 종목을 그룹으로 묶어 표현한다</t>
    </r>
    <r>
      <rPr>
        <sz val="9"/>
        <rFont val="Malgun Gothic"/>
        <family val="0"/>
        <charset val="1"/>
      </rPr>
      <t xml:space="preserve">.</t>
    </r>
  </si>
  <si>
    <t xml:space="preserve">FN-WRK-011~013</t>
  </si>
  <si>
    <t xml:space="preserve">REQ-WRK-005</t>
  </si>
  <si>
    <t xml:space="preserve">입력편의</t>
  </si>
  <si>
    <t xml:space="preserve">이전 기록 자동 프리필</t>
  </si>
  <si>
    <r>
      <rPr>
        <sz val="9"/>
        <rFont val="Noto Sans CJK SC"/>
        <family val="2"/>
      </rPr>
      <t xml:space="preserve">종목 추가 시 해당 종목의 직전 수행 기록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세트 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을 기본값으로 자동 채운다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루틴에 목표값이 지정된 경우 목표값을 우선한다</t>
    </r>
    <r>
      <rPr>
        <sz val="9"/>
        <rFont val="Malgun Gothic"/>
        <family val="0"/>
        <charset val="1"/>
      </rPr>
      <t xml:space="preserve">.</t>
    </r>
  </si>
  <si>
    <t xml:space="preserve">FN-WRK-014</t>
  </si>
  <si>
    <t xml:space="preserve">REQ-WRK-006</t>
  </si>
  <si>
    <t xml:space="preserve">세트 편집 기능</t>
  </si>
  <si>
    <r>
      <rPr>
        <sz val="9"/>
        <rFont val="Noto Sans CJK SC"/>
        <family val="2"/>
      </rPr>
      <t xml:space="preserve">세트 복사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직전 세트 그대로 추가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삭제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순서 변경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종목 순서 변경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드래그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을 지원한다</t>
    </r>
    <r>
      <rPr>
        <sz val="9"/>
        <rFont val="Malgun Gothic"/>
        <family val="0"/>
        <charset val="1"/>
      </rPr>
      <t xml:space="preserve">.</t>
    </r>
  </si>
  <si>
    <t xml:space="preserve">FN-WRK-015~018</t>
  </si>
  <si>
    <t xml:space="preserve">REQ-WRK-007</t>
  </si>
  <si>
    <t xml:space="preserve">수행</t>
  </si>
  <si>
    <t xml:space="preserve">운동 진행 모드</t>
  </si>
  <si>
    <r>
      <rPr>
        <sz val="9"/>
        <rFont val="Noto Sans CJK SC"/>
        <family val="2"/>
      </rPr>
      <t xml:space="preserve">운동 수행 중 세트 완료 체크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완료 시 휴식 타이머 자동 시작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진행률 표시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화면 켜짐 유지를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앱 종료 후 재진입 시 진행 상태를 복원한다</t>
    </r>
    <r>
      <rPr>
        <sz val="9"/>
        <rFont val="Malgun Gothic"/>
        <family val="0"/>
        <charset val="1"/>
      </rPr>
      <t xml:space="preserve">.</t>
    </r>
  </si>
  <si>
    <t xml:space="preserve">FN-WRK-019~023</t>
  </si>
  <si>
    <t xml:space="preserve">REQ-WRK-008</t>
  </si>
  <si>
    <t xml:space="preserve">메모</t>
  </si>
  <si>
    <t xml:space="preserve">계층별 메모 기록</t>
  </si>
  <si>
    <r>
      <rPr>
        <sz val="9"/>
        <rFont val="Noto Sans CJK SC"/>
        <family val="2"/>
      </rPr>
      <t xml:space="preserve">일지 단위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오늘 컨디션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종목 단위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자극점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통증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세트 단위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폼 이슈</t>
    </r>
    <r>
      <rPr>
        <sz val="9"/>
        <rFont val="Malgun Gothic"/>
        <family val="0"/>
        <charset val="1"/>
      </rPr>
      <t xml:space="preserve">) 3</t>
    </r>
    <r>
      <rPr>
        <sz val="9"/>
        <rFont val="Noto Sans CJK SC"/>
        <family val="2"/>
      </rPr>
      <t xml:space="preserve">계층으로 메모를 작성한다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모든 메모는 검색 대상에 포함된다</t>
    </r>
    <r>
      <rPr>
        <sz val="9"/>
        <rFont val="Malgun Gothic"/>
        <family val="0"/>
        <charset val="1"/>
      </rPr>
      <t xml:space="preserve">.</t>
    </r>
  </si>
  <si>
    <t xml:space="preserve">FN-WRK-024~026</t>
  </si>
  <si>
    <t xml:space="preserve">REQ-WRK-009</t>
  </si>
  <si>
    <t xml:space="preserve">요약</t>
  </si>
  <si>
    <t xml:space="preserve">세션 요약 정보 제공</t>
  </si>
  <si>
    <r>
      <rPr>
        <sz val="9"/>
        <rFont val="Noto Sans CJK SC"/>
        <family val="2"/>
      </rPr>
      <t xml:space="preserve">일지 저장 시 총 볼륨</t>
    </r>
    <r>
      <rPr>
        <sz val="9"/>
        <rFont val="Malgun Gothic"/>
        <family val="0"/>
        <charset val="1"/>
      </rPr>
      <t xml:space="preserve">(kg), </t>
    </r>
    <r>
      <rPr>
        <sz val="9"/>
        <rFont val="Noto Sans CJK SC"/>
        <family val="2"/>
      </rPr>
      <t xml:space="preserve">총 세트 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 횟수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순 운동시간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부위별 세트 비중을 자동 산출하여 표시한다</t>
    </r>
    <r>
      <rPr>
        <sz val="9"/>
        <rFont val="Malgun Gothic"/>
        <family val="0"/>
        <charset val="1"/>
      </rPr>
      <t xml:space="preserve">.</t>
    </r>
  </si>
  <si>
    <t xml:space="preserve">FN-WRK-027~028</t>
  </si>
  <si>
    <t xml:space="preserve">REQ-WRK-010</t>
  </si>
  <si>
    <t xml:space="preserve">유산소</t>
  </si>
  <si>
    <r>
      <rPr>
        <sz val="9"/>
        <rFont val="Noto Sans CJK SC"/>
        <family val="2"/>
      </rPr>
      <t xml:space="preserve">유산소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홈트 기록</t>
    </r>
  </si>
  <si>
    <r>
      <rPr>
        <sz val="9"/>
        <rFont val="Noto Sans CJK SC"/>
        <family val="2"/>
      </rPr>
      <t xml:space="preserve">유산소 종목은 운동시간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거리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평균심박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소모칼로리를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맨몸 종목은 횟수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세트를 기록한다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웨이트와 동일 일지 내에서 혼합 기록이 가능하다</t>
    </r>
    <r>
      <rPr>
        <sz val="9"/>
        <rFont val="Malgun Gothic"/>
        <family val="0"/>
        <charset val="1"/>
      </rPr>
      <t xml:space="preserve">.</t>
    </r>
  </si>
  <si>
    <t xml:space="preserve">FN-WRK-029~030</t>
  </si>
  <si>
    <t xml:space="preserve">REQ-WRK-011</t>
  </si>
  <si>
    <t xml:space="preserve">안정성</t>
  </si>
  <si>
    <t xml:space="preserve">입력 중 자동 임시저장</t>
  </si>
  <si>
    <r>
      <rPr>
        <sz val="9"/>
        <rFont val="Noto Sans CJK SC"/>
        <family val="2"/>
      </rPr>
      <t xml:space="preserve">세트 입력 시마다 로컬 </t>
    </r>
    <r>
      <rPr>
        <sz val="9"/>
        <rFont val="Malgun Gothic"/>
        <family val="0"/>
        <charset val="1"/>
      </rPr>
      <t xml:space="preserve">DB</t>
    </r>
    <r>
      <rPr>
        <sz val="9"/>
        <rFont val="Noto Sans CJK SC"/>
        <family val="2"/>
      </rPr>
      <t xml:space="preserve">에 즉시 반영하여 앱 강제 종료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배터리 소진 시에도 데이터가 유실되지 않도록 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명시적 저장 버튼에 의존하지 않는다</t>
    </r>
    <r>
      <rPr>
        <sz val="9"/>
        <rFont val="Malgun Gothic"/>
        <family val="0"/>
        <charset val="1"/>
      </rPr>
      <t xml:space="preserve">.</t>
    </r>
  </si>
  <si>
    <t xml:space="preserve">FN-WRK-031</t>
  </si>
  <si>
    <t xml:space="preserve">REQ-WRK-012</t>
  </si>
  <si>
    <t xml:space="preserve">컨디션</t>
  </si>
  <si>
    <r>
      <rPr>
        <sz val="9"/>
        <rFont val="Malgun Gothic"/>
        <family val="0"/>
        <charset val="1"/>
      </rPr>
      <t xml:space="preserve">RPE </t>
    </r>
    <r>
      <rPr>
        <sz val="9"/>
        <rFont val="Noto Sans CJK SC"/>
        <family val="2"/>
      </rPr>
      <t xml:space="preserve">및 컨디션 기록</t>
    </r>
  </si>
  <si>
    <r>
      <rPr>
        <sz val="9"/>
        <rFont val="Noto Sans CJK SC"/>
        <family val="2"/>
      </rPr>
      <t xml:space="preserve">세트별 </t>
    </r>
    <r>
      <rPr>
        <sz val="9"/>
        <rFont val="Malgun Gothic"/>
        <family val="0"/>
        <charset val="1"/>
      </rPr>
      <t xml:space="preserve">RPE(1~10) </t>
    </r>
    <r>
      <rPr>
        <sz val="9"/>
        <rFont val="Noto Sans CJK SC"/>
        <family val="2"/>
      </rPr>
      <t xml:space="preserve">또는 </t>
    </r>
    <r>
      <rPr>
        <sz val="9"/>
        <rFont val="Malgun Gothic"/>
        <family val="0"/>
        <charset val="1"/>
      </rPr>
      <t xml:space="preserve">RIR</t>
    </r>
    <r>
      <rPr>
        <sz val="9"/>
        <rFont val="Noto Sans CJK SC"/>
        <family val="2"/>
      </rPr>
      <t xml:space="preserve">을 선택 입력한다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일지 단위로 수면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컨디션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근육통 상태를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단계로 기록한다</t>
    </r>
    <r>
      <rPr>
        <sz val="9"/>
        <rFont val="Malgun Gothic"/>
        <family val="0"/>
        <charset val="1"/>
      </rPr>
      <t xml:space="preserve">.</t>
    </r>
  </si>
  <si>
    <t xml:space="preserve">FN-WRK-032~033</t>
  </si>
  <si>
    <t xml:space="preserve">REQ-RTN-001</t>
  </si>
  <si>
    <r>
      <rPr>
        <sz val="9"/>
        <rFont val="Noto Sans CJK SC"/>
        <family val="2"/>
      </rPr>
      <t xml:space="preserve">루틴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프로그램</t>
    </r>
  </si>
  <si>
    <t xml:space="preserve">루틴</t>
  </si>
  <si>
    <t xml:space="preserve">루틴 관리</t>
  </si>
  <si>
    <r>
      <rPr>
        <sz val="9"/>
        <rFont val="Noto Sans CJK SC"/>
        <family val="2"/>
      </rPr>
      <t xml:space="preserve">반복 수행하는 종목 묶음을 루틴으로 생성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조회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수정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개인 사용 목적이므로 생성 개수에 제한을 두지 않는다</t>
    </r>
    <r>
      <rPr>
        <sz val="9"/>
        <rFont val="Malgun Gothic"/>
        <family val="0"/>
        <charset val="1"/>
      </rPr>
      <t xml:space="preserve">.</t>
    </r>
  </si>
  <si>
    <t xml:space="preserve">FN-RTN-001~004</t>
  </si>
  <si>
    <t xml:space="preserve">REQ-RTN-002</t>
  </si>
  <si>
    <t xml:space="preserve">루틴 구성 정보 정의</t>
  </si>
  <si>
    <r>
      <rPr>
        <sz val="9"/>
        <rFont val="Noto Sans CJK SC"/>
        <family val="2"/>
      </rPr>
      <t xml:space="preserve">루틴은 종목 목록과 종목별 목표 세트 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 횟수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 휴식시간을 포함한다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목표 중량은 절대값 또는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대비 비율</t>
    </r>
    <r>
      <rPr>
        <sz val="9"/>
        <rFont val="Malgun Gothic"/>
        <family val="0"/>
        <charset val="1"/>
      </rPr>
      <t xml:space="preserve">(%)</t>
    </r>
    <r>
      <rPr>
        <sz val="9"/>
        <rFont val="Noto Sans CJK SC"/>
        <family val="2"/>
      </rPr>
      <t xml:space="preserve">로 지정할 수 있다</t>
    </r>
    <r>
      <rPr>
        <sz val="9"/>
        <rFont val="Malgun Gothic"/>
        <family val="0"/>
        <charset val="1"/>
      </rPr>
      <t xml:space="preserve">.</t>
    </r>
  </si>
  <si>
    <t xml:space="preserve">FN-RTN-005~006</t>
  </si>
  <si>
    <t xml:space="preserve">REQ-RTN-003</t>
  </si>
  <si>
    <t xml:space="preserve">실행</t>
  </si>
  <si>
    <t xml:space="preserve">루틴 실행 및 일지 생성</t>
  </si>
  <si>
    <r>
      <rPr>
        <sz val="9"/>
        <rFont val="Noto Sans CJK SC"/>
        <family val="2"/>
      </rPr>
      <t xml:space="preserve">루틴을 선택하면 해당 일자의 운동일지로 인스턴스화한다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루틴 원본과 실제 기록은 분리되어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일지 수정이 루틴 정의에 영향을 주지 않는다</t>
    </r>
    <r>
      <rPr>
        <sz val="9"/>
        <rFont val="Malgun Gothic"/>
        <family val="0"/>
        <charset val="1"/>
      </rPr>
      <t xml:space="preserve">.</t>
    </r>
  </si>
  <si>
    <t xml:space="preserve">FN-RTN-007~008</t>
  </si>
  <si>
    <t xml:space="preserve">REQ-RTN-004</t>
  </si>
  <si>
    <t xml:space="preserve">분할</t>
  </si>
  <si>
    <t xml:space="preserve">분할 프로그램 관리</t>
  </si>
  <si>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분할</t>
    </r>
    <r>
      <rPr>
        <sz val="9"/>
        <rFont val="Malgun Gothic"/>
        <family val="0"/>
        <charset val="1"/>
      </rPr>
      <t xml:space="preserve">·5</t>
    </r>
    <r>
      <rPr>
        <sz val="9"/>
        <rFont val="Noto Sans CJK SC"/>
        <family val="2"/>
      </rPr>
      <t xml:space="preserve">분할 등 복수 루틴을 하나의 분할 프로그램으로 묶고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요일 고정 방식 또는 순환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로테이션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방식으로 배정한다</t>
    </r>
    <r>
      <rPr>
        <sz val="9"/>
        <rFont val="Malgun Gothic"/>
        <family val="0"/>
        <charset val="1"/>
      </rPr>
      <t xml:space="preserve">.</t>
    </r>
  </si>
  <si>
    <t xml:space="preserve">FN-RTN-009~011</t>
  </si>
  <si>
    <t xml:space="preserve">REQ-RTN-005</t>
  </si>
  <si>
    <t xml:space="preserve">주기화</t>
  </si>
  <si>
    <t xml:space="preserve">주기화 프로그램 및 점진적 과부하</t>
  </si>
  <si>
    <r>
      <rPr>
        <sz val="9"/>
        <rFont val="Noto Sans CJK SC"/>
        <family val="2"/>
      </rPr>
      <t xml:space="preserve">주차별 목표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 변화 규칙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Malgun Gothic"/>
        <family val="0"/>
        <charset val="1"/>
      </rPr>
      <t xml:space="preserve">: </t>
    </r>
    <r>
      <rPr>
        <sz val="9"/>
        <rFont val="Noto Sans CJK SC"/>
        <family val="2"/>
      </rPr>
      <t xml:space="preserve">매주 </t>
    </r>
    <r>
      <rPr>
        <sz val="9"/>
        <rFont val="Malgun Gothic"/>
        <family val="0"/>
        <charset val="1"/>
      </rPr>
      <t xml:space="preserve">2.5kg </t>
    </r>
    <r>
      <rPr>
        <sz val="9"/>
        <rFont val="Noto Sans CJK SC"/>
        <family val="2"/>
      </rPr>
      <t xml:space="preserve">증량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 횟수 달성 시 증량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을 정의하고 다음 세션 목표값을 자동 제안한다</t>
    </r>
    <r>
      <rPr>
        <sz val="9"/>
        <rFont val="Malgun Gothic"/>
        <family val="0"/>
        <charset val="1"/>
      </rPr>
      <t xml:space="preserve">.</t>
    </r>
  </si>
  <si>
    <t xml:space="preserve">FN-RTN-012~014</t>
  </si>
  <si>
    <t xml:space="preserve">REQ-RTN-006</t>
  </si>
  <si>
    <t xml:space="preserve">루틴 복제 및 이력 관리</t>
  </si>
  <si>
    <r>
      <rPr>
        <sz val="9"/>
        <rFont val="Noto Sans CJK SC"/>
        <family val="2"/>
      </rPr>
      <t xml:space="preserve">기존 루틴을 복제하여 변형 루틴을 만들고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 정의 변경 이력을 보관하여 과거 기록이 어떤 버전으로 수행되었는지 추적한다</t>
    </r>
    <r>
      <rPr>
        <sz val="9"/>
        <rFont val="Malgun Gothic"/>
        <family val="0"/>
        <charset val="1"/>
      </rPr>
      <t xml:space="preserve">.</t>
    </r>
  </si>
  <si>
    <t xml:space="preserve">FN-RTN-015~016</t>
  </si>
  <si>
    <t xml:space="preserve">REQ-RTN-007</t>
  </si>
  <si>
    <t xml:space="preserve">프리셋</t>
  </si>
  <si>
    <t xml:space="preserve">추천 루틴 프리셋 제공</t>
  </si>
  <si>
    <r>
      <rPr>
        <sz val="9"/>
        <rFont val="Noto Sans CJK SC"/>
        <family val="2"/>
      </rPr>
      <t xml:space="preserve">부위별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가슴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등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하체</t>
    </r>
    <r>
      <rPr>
        <sz val="9"/>
        <rFont val="Malgun Gothic"/>
        <family val="0"/>
        <charset val="1"/>
      </rPr>
      <t xml:space="preserve">)·</t>
    </r>
    <r>
      <rPr>
        <sz val="9"/>
        <rFont val="Noto Sans CJK SC"/>
        <family val="2"/>
      </rPr>
      <t xml:space="preserve">목적별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다이어트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벌크업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입문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기본 루틴 프리셋을 내장 제공하고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이를 복제해 자기 루틴으로 편집한다</t>
    </r>
    <r>
      <rPr>
        <sz val="9"/>
        <rFont val="Malgun Gothic"/>
        <family val="0"/>
        <charset val="1"/>
      </rPr>
      <t xml:space="preserve">.</t>
    </r>
  </si>
  <si>
    <t xml:space="preserve">FN-RTN-017~018</t>
  </si>
  <si>
    <t xml:space="preserve">REQ-CAL-001</t>
  </si>
  <si>
    <t xml:space="preserve">캘린더</t>
  </si>
  <si>
    <t xml:space="preserve">조회</t>
  </si>
  <si>
    <t xml:space="preserve">월간 캘린더 조회</t>
  </si>
  <si>
    <r>
      <rPr>
        <sz val="9"/>
        <rFont val="Noto Sans CJK SC"/>
        <family val="2"/>
      </rPr>
      <t xml:space="preserve">월 단위 캘린더에 운동 수행일을 마커로 표시한다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마커는 운동 유형별 색상 또는 부위 아이콘으로 구분한다</t>
    </r>
    <r>
      <rPr>
        <sz val="9"/>
        <rFont val="Malgun Gothic"/>
        <family val="0"/>
        <charset val="1"/>
      </rPr>
      <t xml:space="preserve">.</t>
    </r>
  </si>
  <si>
    <t xml:space="preserve">FN-CAL-001~002</t>
  </si>
  <si>
    <t xml:space="preserve">REQ-CAL-002</t>
  </si>
  <si>
    <t xml:space="preserve">필터</t>
  </si>
  <si>
    <t xml:space="preserve">캘린더 필터</t>
  </si>
  <si>
    <r>
      <rPr>
        <sz val="9"/>
        <rFont val="Noto Sans CJK SC"/>
        <family val="2"/>
      </rPr>
      <t xml:space="preserve">루틴별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부위별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기록 유형별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웨이트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홈트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유산소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로 캘린더 표시를 필터링한다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필터 조건은 마지막 상태를 기억한다</t>
    </r>
    <r>
      <rPr>
        <sz val="9"/>
        <rFont val="Malgun Gothic"/>
        <family val="0"/>
        <charset val="1"/>
      </rPr>
      <t xml:space="preserve">.</t>
    </r>
  </si>
  <si>
    <t xml:space="preserve">FN-CAL-003</t>
  </si>
  <si>
    <t xml:space="preserve">REQ-CAL-003</t>
  </si>
  <si>
    <t xml:space="preserve">계획</t>
  </si>
  <si>
    <t xml:space="preserve">운동 계획 등록</t>
  </si>
  <si>
    <r>
      <rPr>
        <sz val="9"/>
        <rFont val="Noto Sans CJK SC"/>
        <family val="2"/>
      </rPr>
      <t xml:space="preserve">미래 일자에 루틴을 배치하여 계획을 수립한다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계획된 일자는 수행 완료 일자와 시각적으로 구분한다</t>
    </r>
    <r>
      <rPr>
        <sz val="9"/>
        <rFont val="Malgun Gothic"/>
        <family val="0"/>
        <charset val="1"/>
      </rPr>
      <t xml:space="preserve">.</t>
    </r>
  </si>
  <si>
    <t xml:space="preserve">FN-CAL-004~005</t>
  </si>
  <si>
    <t xml:space="preserve">REQ-CAL-004</t>
  </si>
  <si>
    <t xml:space="preserve">주간 뷰 및 일자 이동</t>
  </si>
  <si>
    <r>
      <rPr>
        <sz val="9"/>
        <rFont val="Noto Sans CJK SC"/>
        <family val="2"/>
      </rPr>
      <t xml:space="preserve">주간 요약 뷰를 제공하고 캘린더에서 일자 선택 시 해당 일지로 이동한다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좌우 스와이프로 이전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다음 기간을 이동한다</t>
    </r>
    <r>
      <rPr>
        <sz val="9"/>
        <rFont val="Malgun Gothic"/>
        <family val="0"/>
        <charset val="1"/>
      </rPr>
      <t xml:space="preserve">.</t>
    </r>
  </si>
  <si>
    <t xml:space="preserve">FN-CAL-006~007</t>
  </si>
  <si>
    <t xml:space="preserve">REQ-CAL-005</t>
  </si>
  <si>
    <t xml:space="preserve">동기부여</t>
  </si>
  <si>
    <r>
      <rPr>
        <sz val="9"/>
        <rFont val="Noto Sans CJK SC"/>
        <family val="2"/>
      </rPr>
      <t xml:space="preserve">연속 수행 기록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스트릭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</si>
  <si>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주당 목표 운동 횟수 기준의 연속 달성 주차 수와 총 운동일 수를 산출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표시한다</t>
    </r>
    <r>
      <rPr>
        <sz val="9"/>
        <rFont val="Malgun Gothic"/>
        <family val="0"/>
        <charset val="1"/>
      </rPr>
      <t xml:space="preserve">.</t>
    </r>
  </si>
  <si>
    <t xml:space="preserve">FN-CAL-008</t>
  </si>
  <si>
    <t xml:space="preserve">REQ-RPT-001</t>
  </si>
  <si>
    <r>
      <rPr>
        <sz val="9"/>
        <rFont val="Noto Sans CJK SC"/>
        <family val="2"/>
      </rPr>
      <t xml:space="preserve">분석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리포트</t>
    </r>
  </si>
  <si>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추정</t>
    </r>
  </si>
  <si>
    <r>
      <rPr>
        <sz val="9"/>
        <rFont val="Noto Sans CJK SC"/>
        <family val="2"/>
      </rPr>
      <t xml:space="preserve">세트 기록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×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으로부터 추정 </t>
    </r>
    <r>
      <rPr>
        <sz val="9"/>
        <rFont val="Malgun Gothic"/>
        <family val="0"/>
        <charset val="1"/>
      </rPr>
      <t xml:space="preserve">1RM</t>
    </r>
    <r>
      <rPr>
        <sz val="9"/>
        <rFont val="Noto Sans CJK SC"/>
        <family val="2"/>
      </rPr>
      <t xml:space="preserve">을 산출한다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산출 공식</t>
    </r>
    <r>
      <rPr>
        <sz val="9"/>
        <rFont val="Malgun Gothic"/>
        <family val="0"/>
        <charset val="1"/>
      </rPr>
      <t xml:space="preserve">(Epley/Brzycki/Lombardi)</t>
    </r>
    <r>
      <rPr>
        <sz val="9"/>
        <rFont val="Noto Sans CJK SC"/>
        <family val="2"/>
      </rPr>
      <t xml:space="preserve">은 설정에서 선택 가능하며 기본값은 </t>
    </r>
    <r>
      <rPr>
        <sz val="9"/>
        <rFont val="Malgun Gothic"/>
        <family val="0"/>
        <charset val="1"/>
      </rPr>
      <t xml:space="preserve">Epley</t>
    </r>
    <r>
      <rPr>
        <sz val="9"/>
        <rFont val="Noto Sans CJK SC"/>
        <family val="2"/>
      </rPr>
      <t xml:space="preserve">로 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반복 횟수 </t>
    </r>
    <r>
      <rPr>
        <sz val="9"/>
        <rFont val="Malgun Gothic"/>
        <family val="0"/>
        <charset val="1"/>
      </rPr>
      <t xml:space="preserve">12</t>
    </r>
    <r>
      <rPr>
        <sz val="9"/>
        <rFont val="Noto Sans CJK SC"/>
        <family val="2"/>
      </rPr>
      <t xml:space="preserve">회 초과 세트는 추정 신뢰도 저하를 표기한다</t>
    </r>
    <r>
      <rPr>
        <sz val="9"/>
        <rFont val="Malgun Gothic"/>
        <family val="0"/>
        <charset val="1"/>
      </rPr>
      <t xml:space="preserve">.</t>
    </r>
  </si>
  <si>
    <t xml:space="preserve">FN-RPT-001~003</t>
  </si>
  <si>
    <t xml:space="preserve">REQ-RPT-002</t>
  </si>
  <si>
    <t xml:space="preserve">강도</t>
  </si>
  <si>
    <r>
      <rPr>
        <sz val="9"/>
        <rFont val="Noto Sans CJK SC"/>
        <family val="2"/>
      </rPr>
      <t xml:space="preserve">운동 강도</t>
    </r>
    <r>
      <rPr>
        <sz val="9"/>
        <rFont val="Malgun Gothic"/>
        <family val="0"/>
        <charset val="1"/>
      </rPr>
      <t xml:space="preserve">(%1RM) </t>
    </r>
    <r>
      <rPr>
        <sz val="9"/>
        <rFont val="Noto Sans CJK SC"/>
        <family val="2"/>
      </rPr>
      <t xml:space="preserve">분석</t>
    </r>
  </si>
  <si>
    <r>
      <rPr>
        <sz val="9"/>
        <rFont val="Noto Sans CJK SC"/>
        <family val="2"/>
      </rPr>
      <t xml:space="preserve">각 세트의 중량을 해당 종목 추정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대비 백분율로 환산하여 표시하고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세션 평균 강도와 강도 구간별 세트 분포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근력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근비대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근지속력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를 제공한다</t>
    </r>
    <r>
      <rPr>
        <sz val="9"/>
        <rFont val="Malgun Gothic"/>
        <family val="0"/>
        <charset val="1"/>
      </rPr>
      <t xml:space="preserve">.</t>
    </r>
  </si>
  <si>
    <t xml:space="preserve">FN-RPT-004~006</t>
  </si>
  <si>
    <t xml:space="preserve">REQ-RPT-003</t>
  </si>
  <si>
    <t xml:space="preserve">추이</t>
  </si>
  <si>
    <t xml:space="preserve">종목별 성장 그래프</t>
  </si>
  <si>
    <r>
      <rPr>
        <sz val="9"/>
        <rFont val="Noto Sans CJK SC"/>
        <family val="2"/>
      </rPr>
      <t xml:space="preserve">종목 단위로 기간별 최대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총 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추정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추이를 선형 차트로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기간은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/3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/6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/1</t>
    </r>
    <r>
      <rPr>
        <sz val="9"/>
        <rFont val="Noto Sans CJK SC"/>
        <family val="2"/>
      </rPr>
      <t xml:space="preserve">년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전체를 선택한다</t>
    </r>
    <r>
      <rPr>
        <sz val="9"/>
        <rFont val="Malgun Gothic"/>
        <family val="0"/>
        <charset val="1"/>
      </rPr>
      <t xml:space="preserve">.</t>
    </r>
  </si>
  <si>
    <t xml:space="preserve">FN-RPT-007~009</t>
  </si>
  <si>
    <t xml:space="preserve">REQ-RPT-004</t>
  </si>
  <si>
    <t xml:space="preserve">리포트</t>
  </si>
  <si>
    <r>
      <rPr>
        <sz val="9"/>
        <rFont val="Noto Sans CJK SC"/>
        <family val="2"/>
      </rPr>
      <t xml:space="preserve">주간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월간 리포트</t>
    </r>
  </si>
  <si>
    <r>
      <rPr>
        <sz val="9"/>
        <rFont val="Noto Sans CJK SC"/>
        <family val="2"/>
      </rPr>
      <t xml:space="preserve">기간 내 운동 횟수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 볼륨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 세트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 운동시간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부위별 세트 빈도를 집계한 리포트를 제공하고 직전 동일 기간과 증감을 비교한다</t>
    </r>
    <r>
      <rPr>
        <sz val="9"/>
        <rFont val="Malgun Gothic"/>
        <family val="0"/>
        <charset val="1"/>
      </rPr>
      <t xml:space="preserve">.</t>
    </r>
  </si>
  <si>
    <t xml:space="preserve">FN-RPT-010~013</t>
  </si>
  <si>
    <t xml:space="preserve">REQ-RPT-005</t>
  </si>
  <si>
    <t xml:space="preserve">밸런스</t>
  </si>
  <si>
    <t xml:space="preserve">부위 밸런스 분석</t>
  </si>
  <si>
    <r>
      <rPr>
        <sz val="9"/>
        <rFont val="Noto Sans CJK SC"/>
        <family val="2"/>
      </rPr>
      <t xml:space="preserve">밀기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당기기 세트 비율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상체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하체 비율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좌우 비대칭 종목 수행 편차를 분석하여 불균형 부위를 알린다</t>
    </r>
    <r>
      <rPr>
        <sz val="9"/>
        <rFont val="Malgun Gothic"/>
        <family val="0"/>
        <charset val="1"/>
      </rPr>
      <t xml:space="preserve">.</t>
    </r>
  </si>
  <si>
    <t xml:space="preserve">FN-RPT-014~015</t>
  </si>
  <si>
    <t xml:space="preserve">REQ-RPT-006</t>
  </si>
  <si>
    <t xml:space="preserve">PR</t>
  </si>
  <si>
    <r>
      <rPr>
        <sz val="9"/>
        <rFont val="Noto Sans CJK SC"/>
        <family val="2"/>
      </rPr>
      <t xml:space="preserve">개인 최고기록</t>
    </r>
    <r>
      <rPr>
        <sz val="9"/>
        <rFont val="Malgun Gothic"/>
        <family val="0"/>
        <charset val="1"/>
      </rPr>
      <t xml:space="preserve">(PR) </t>
    </r>
    <r>
      <rPr>
        <sz val="9"/>
        <rFont val="Noto Sans CJK SC"/>
        <family val="2"/>
      </rPr>
      <t xml:space="preserve">관리</t>
    </r>
  </si>
  <si>
    <r>
      <rPr>
        <sz val="9"/>
        <rFont val="Noto Sans CJK SC"/>
        <family val="2"/>
      </rPr>
      <t xml:space="preserve">종목별 최대 중량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최대 추정 </t>
    </r>
    <r>
      <rPr>
        <sz val="9"/>
        <rFont val="Malgun Gothic"/>
        <family val="0"/>
        <charset val="1"/>
      </rPr>
      <t xml:space="preserve">1RM, </t>
    </r>
    <r>
      <rPr>
        <sz val="9"/>
        <rFont val="Noto Sans CJK SC"/>
        <family val="2"/>
      </rPr>
      <t xml:space="preserve">최대 단일세트 볼륨을 자동 감지하고 갱신 시 사용자에게 알린다</t>
    </r>
    <r>
      <rPr>
        <sz val="9"/>
        <rFont val="Malgun Gothic"/>
        <family val="0"/>
        <charset val="1"/>
      </rPr>
      <t xml:space="preserve">. PR </t>
    </r>
    <r>
      <rPr>
        <sz val="9"/>
        <rFont val="Noto Sans CJK SC"/>
        <family val="2"/>
      </rPr>
      <t xml:space="preserve">갱신 이력을 목록으로 조회한다</t>
    </r>
    <r>
      <rPr>
        <sz val="9"/>
        <rFont val="Malgun Gothic"/>
        <family val="0"/>
        <charset val="1"/>
      </rPr>
      <t xml:space="preserve">.</t>
    </r>
  </si>
  <si>
    <t xml:space="preserve">FN-RPT-016~018</t>
  </si>
  <si>
    <t xml:space="preserve">REQ-RPT-007</t>
  </si>
  <si>
    <t xml:space="preserve">운동 메모 통합 검색</t>
  </si>
  <si>
    <r>
      <rPr>
        <sz val="9"/>
        <rFont val="Noto Sans CJK SC"/>
        <family val="2"/>
      </rPr>
      <t xml:space="preserve">일지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 메모 및 </t>
    </r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노트를 대상으로 키워드 전문 검색을 수행하고 결과에서 원본 일지로 이동한다</t>
    </r>
    <r>
      <rPr>
        <sz val="9"/>
        <rFont val="Malgun Gothic"/>
        <family val="0"/>
        <charset val="1"/>
      </rPr>
      <t xml:space="preserve">.</t>
    </r>
  </si>
  <si>
    <t xml:space="preserve">FN-RPT-019~020</t>
  </si>
  <si>
    <t xml:space="preserve">REQ-RPT-008</t>
  </si>
  <si>
    <t xml:space="preserve">비교</t>
  </si>
  <si>
    <t xml:space="preserve">기간 비교 분석</t>
  </si>
  <si>
    <r>
      <rPr>
        <sz val="9"/>
        <rFont val="Noto Sans CJK SC"/>
        <family val="2"/>
      </rPr>
      <t xml:space="preserve">임의의 두 기간을 선택하여 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강도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빈도 지표를 병렬 비교한다</t>
    </r>
    <r>
      <rPr>
        <sz val="9"/>
        <rFont val="Malgun Gothic"/>
        <family val="0"/>
        <charset val="1"/>
      </rPr>
      <t xml:space="preserve">.</t>
    </r>
  </si>
  <si>
    <t xml:space="preserve">FN-RPT-021</t>
  </si>
  <si>
    <t xml:space="preserve">REQ-RPT-009</t>
  </si>
  <si>
    <t xml:space="preserve">알림</t>
  </si>
  <si>
    <t xml:space="preserve">수행 공백 감지</t>
  </si>
  <si>
    <r>
      <rPr>
        <sz val="9"/>
        <rFont val="Noto Sans CJK SC"/>
        <family val="2"/>
      </rPr>
      <t xml:space="preserve">설정한 목표 빈도 대비 미수행 기간이 지속될 경우 알림을 발송하고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특정 부위가 장기간 미수행일 때 이를 리포트에 표시한다</t>
    </r>
    <r>
      <rPr>
        <sz val="9"/>
        <rFont val="Malgun Gothic"/>
        <family val="0"/>
        <charset val="1"/>
      </rPr>
      <t xml:space="preserve">.</t>
    </r>
  </si>
  <si>
    <t xml:space="preserve">FN-RPT-022</t>
  </si>
  <si>
    <t xml:space="preserve">REQ-BDY-001</t>
  </si>
  <si>
    <t xml:space="preserve">신체데이터</t>
  </si>
  <si>
    <t xml:space="preserve">체성분</t>
  </si>
  <si>
    <t xml:space="preserve">체성분 기록</t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</si>
  <si>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체지방률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골격근량</t>
    </r>
    <r>
      <rPr>
        <sz val="9"/>
        <rFont val="Malgun Gothic"/>
        <family val="0"/>
        <charset val="1"/>
      </rPr>
      <t xml:space="preserve">, BMI</t>
    </r>
    <r>
      <rPr>
        <sz val="9"/>
        <rFont val="Noto Sans CJK SC"/>
        <family val="2"/>
      </rPr>
      <t xml:space="preserve">를 일자별로 기록한다</t>
    </r>
    <r>
      <rPr>
        <sz val="9"/>
        <rFont val="Malgun Gothic"/>
        <family val="0"/>
        <charset val="1"/>
      </rPr>
      <t xml:space="preserve">. BMI</t>
    </r>
    <r>
      <rPr>
        <sz val="9"/>
        <rFont val="Noto Sans CJK SC"/>
        <family val="2"/>
      </rPr>
      <t xml:space="preserve">는 프로필 신장 기준 자동 산출한다</t>
    </r>
    <r>
      <rPr>
        <sz val="9"/>
        <rFont val="Malgun Gothic"/>
        <family val="0"/>
        <charset val="1"/>
      </rPr>
      <t xml:space="preserve">.</t>
    </r>
  </si>
  <si>
    <t xml:space="preserve">FN-BDY-001~003</t>
  </si>
  <si>
    <t xml:space="preserve">REQ-BDY-002</t>
  </si>
  <si>
    <t xml:space="preserve">둘레</t>
  </si>
  <si>
    <t xml:space="preserve">신체 둘레 기록</t>
  </si>
  <si>
    <r>
      <rPr>
        <sz val="9"/>
        <rFont val="Noto Sans CJK SC"/>
        <family val="2"/>
      </rPr>
      <t xml:space="preserve">가슴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허리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엉덩이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팔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허벅지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종아리 둘레를 일자별로 기록한다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측정 부위는 사용자가 선택적으로 활성화한다</t>
    </r>
    <r>
      <rPr>
        <sz val="9"/>
        <rFont val="Malgun Gothic"/>
        <family val="0"/>
        <charset val="1"/>
      </rPr>
      <t xml:space="preserve">.</t>
    </r>
  </si>
  <si>
    <t xml:space="preserve">FN-BDY-004</t>
  </si>
  <si>
    <t xml:space="preserve">REQ-BDY-003</t>
  </si>
  <si>
    <t xml:space="preserve">사진</t>
  </si>
  <si>
    <t xml:space="preserve">눈바디 사진 관리</t>
  </si>
  <si>
    <r>
      <rPr>
        <sz val="9"/>
        <rFont val="Noto Sans CJK SC"/>
        <family val="2"/>
      </rPr>
      <t xml:space="preserve">정면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측면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후면 사진을 일자별로 등록하고 두 시점을 좌우 분할로 비교한다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사진은 앱 전용 저장소에 보관하고 외부 갤러리에 노출하지 않는다</t>
    </r>
    <r>
      <rPr>
        <sz val="9"/>
        <rFont val="Malgun Gothic"/>
        <family val="0"/>
        <charset val="1"/>
      </rPr>
      <t xml:space="preserve">.</t>
    </r>
  </si>
  <si>
    <t xml:space="preserve">FN-BDY-005~007</t>
  </si>
  <si>
    <t xml:space="preserve">REQ-BDY-004</t>
  </si>
  <si>
    <t xml:space="preserve">체성분 추이 그래프</t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</si>
  <si>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체지방률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골격근량의 기간별 추이를 차트로 제공하고 이동평균선을 함께 표시한다</t>
    </r>
    <r>
      <rPr>
        <sz val="9"/>
        <rFont val="Malgun Gothic"/>
        <family val="0"/>
        <charset val="1"/>
      </rPr>
      <t xml:space="preserve">.</t>
    </r>
  </si>
  <si>
    <t xml:space="preserve">FN-BDY-008</t>
  </si>
  <si>
    <t xml:space="preserve">REQ-BDY-005</t>
  </si>
  <si>
    <t xml:space="preserve">연계</t>
  </si>
  <si>
    <r>
      <rPr>
        <sz val="9"/>
        <rFont val="Noto Sans CJK SC"/>
        <family val="2"/>
      </rPr>
      <t xml:space="preserve">운동량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체성분 연계 분석</t>
    </r>
  </si>
  <si>
    <r>
      <rPr>
        <sz val="9"/>
        <rFont val="Noto Sans CJK SC"/>
        <family val="2"/>
      </rPr>
      <t xml:space="preserve">동일 기간의 총 운동 볼륨 추이와 체성분 추이를 하나의 차트에 중첩 표시하여 상관관계를 확인한다</t>
    </r>
    <r>
      <rPr>
        <sz val="9"/>
        <rFont val="Malgun Gothic"/>
        <family val="0"/>
        <charset val="1"/>
      </rPr>
      <t xml:space="preserve">.</t>
    </r>
  </si>
  <si>
    <t xml:space="preserve">FN-BDY-009</t>
  </si>
  <si>
    <t xml:space="preserve">REQ-BDY-006</t>
  </si>
  <si>
    <t xml:space="preserve">목표</t>
  </si>
  <si>
    <t xml:space="preserve">신체 목표 설정 및 달성률</t>
  </si>
  <si>
    <r>
      <rPr>
        <sz val="9"/>
        <rFont val="Noto Sans CJK SC"/>
        <family val="2"/>
      </rPr>
      <t xml:space="preserve">목표 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체지방률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골격근량과 목표 기일을 설정하고 현재 진행률을 표시한다</t>
    </r>
    <r>
      <rPr>
        <sz val="9"/>
        <rFont val="Malgun Gothic"/>
        <family val="0"/>
        <charset val="1"/>
      </rPr>
      <t xml:space="preserve">.</t>
    </r>
  </si>
  <si>
    <t xml:space="preserve">FN-BDY-010</t>
  </si>
  <si>
    <t xml:space="preserve">REQ-DIE-001</t>
  </si>
  <si>
    <t xml:space="preserve">식단</t>
  </si>
  <si>
    <t xml:space="preserve">기록</t>
  </si>
  <si>
    <t xml:space="preserve">식단 타임라인 기록</t>
  </si>
  <si>
    <r>
      <rPr>
        <sz val="9"/>
        <rFont val="Noto Sans CJK SC"/>
        <family val="2"/>
      </rPr>
      <t xml:space="preserve">일자별로 섭취 시각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식사 구분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아침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점심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저녁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간식</t>
    </r>
    <r>
      <rPr>
        <sz val="9"/>
        <rFont val="Malgun Gothic"/>
        <family val="0"/>
        <charset val="1"/>
      </rPr>
      <t xml:space="preserve">)·</t>
    </r>
    <r>
      <rPr>
        <sz val="9"/>
        <rFont val="Noto Sans CJK SC"/>
        <family val="2"/>
      </rPr>
      <t xml:space="preserve">음식 항목을 시간순 타임라인으로 기록한다</t>
    </r>
    <r>
      <rPr>
        <sz val="9"/>
        <rFont val="Malgun Gothic"/>
        <family val="0"/>
        <charset val="1"/>
      </rPr>
      <t xml:space="preserve">.</t>
    </r>
  </si>
  <si>
    <t xml:space="preserve">FN-DIE-001~003</t>
  </si>
  <si>
    <t xml:space="preserve">REQ-DIE-002</t>
  </si>
  <si>
    <r>
      <rPr>
        <sz val="9"/>
        <rFont val="Noto Sans CJK SC"/>
        <family val="2"/>
      </rPr>
      <t xml:space="preserve">음식</t>
    </r>
    <r>
      <rPr>
        <sz val="9"/>
        <rFont val="Malgun Gothic"/>
        <family val="0"/>
        <charset val="1"/>
      </rPr>
      <t xml:space="preserve">DB</t>
    </r>
  </si>
  <si>
    <t xml:space="preserve">음식 데이터베이스 검색</t>
  </si>
  <si>
    <r>
      <rPr>
        <sz val="9"/>
        <rFont val="Noto Sans CJK SC"/>
        <family val="2"/>
      </rPr>
      <t xml:space="preserve">식품의약품안전처 식품영양성분 공공데이터를 내장 또는 개인 서버에 적재하여 음식명 검색과 영양성분 자동 입력을 지원한다</t>
    </r>
    <r>
      <rPr>
        <sz val="9"/>
        <rFont val="Malgun Gothic"/>
        <family val="0"/>
        <charset val="1"/>
      </rPr>
      <t xml:space="preserve">.</t>
    </r>
  </si>
  <si>
    <t xml:space="preserve">FN-DIE-004~005</t>
  </si>
  <si>
    <t xml:space="preserve">REQ-DIE-003</t>
  </si>
  <si>
    <t xml:space="preserve">사용자 음식 및 레시피 등록</t>
  </si>
  <si>
    <r>
      <rPr>
        <sz val="9"/>
        <rFont val="Noto Sans CJK SC"/>
        <family val="2"/>
      </rPr>
      <t xml:space="preserve">사용자가 음식과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인분 기준 영양성분을 직접 등록하고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복수 음식을 묶은 나만의 식단 세트를 저장한다</t>
    </r>
    <r>
      <rPr>
        <sz val="9"/>
        <rFont val="Malgun Gothic"/>
        <family val="0"/>
        <charset val="1"/>
      </rPr>
      <t xml:space="preserve">.</t>
    </r>
  </si>
  <si>
    <t xml:space="preserve">FN-DIE-006~007</t>
  </si>
  <si>
    <t xml:space="preserve">REQ-DIE-004</t>
  </si>
  <si>
    <t xml:space="preserve">집계</t>
  </si>
  <si>
    <t xml:space="preserve">칼로리 및 매크로 집계</t>
  </si>
  <si>
    <r>
      <rPr>
        <sz val="9"/>
        <rFont val="Noto Sans CJK SC"/>
        <family val="2"/>
      </rPr>
      <t xml:space="preserve">일일 총 섭취 칼로리와 탄수화물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단백질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지방 섭취량을 집계하고 목표 대비 달성률을 표시한다</t>
    </r>
    <r>
      <rPr>
        <sz val="9"/>
        <rFont val="Malgun Gothic"/>
        <family val="0"/>
        <charset val="1"/>
      </rPr>
      <t xml:space="preserve">.</t>
    </r>
  </si>
  <si>
    <t xml:space="preserve">FN-DIE-008~009</t>
  </si>
  <si>
    <t xml:space="preserve">REQ-DIE-005</t>
  </si>
  <si>
    <t xml:space="preserve">일일 영양 목표 설정</t>
  </si>
  <si>
    <r>
      <rPr>
        <sz val="9"/>
        <rFont val="Noto Sans CJK SC"/>
        <family val="2"/>
      </rPr>
      <t xml:space="preserve">목표 칼로리와 탄단지 비율을 설정한다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프로필과 활동량을 기준으로 권장값을 자동 제안한다</t>
    </r>
    <r>
      <rPr>
        <sz val="9"/>
        <rFont val="Malgun Gothic"/>
        <family val="0"/>
        <charset val="1"/>
      </rPr>
      <t xml:space="preserve">.</t>
    </r>
  </si>
  <si>
    <t xml:space="preserve">FN-DIE-010</t>
  </si>
  <si>
    <t xml:space="preserve">REQ-DIE-006</t>
  </si>
  <si>
    <t xml:space="preserve">자주 먹는 음식 관리</t>
  </si>
  <si>
    <r>
      <rPr>
        <sz val="9"/>
        <rFont val="Noto Sans CJK SC"/>
        <family val="2"/>
      </rPr>
      <t xml:space="preserve">즐겨찾기 음식과 최근 섭취 음식 목록에서 한 번의 터치로 식단에 추가한다</t>
    </r>
    <r>
      <rPr>
        <sz val="9"/>
        <rFont val="Malgun Gothic"/>
        <family val="0"/>
        <charset val="1"/>
      </rPr>
      <t xml:space="preserve">.</t>
    </r>
  </si>
  <si>
    <t xml:space="preserve">FN-DIE-011</t>
  </si>
  <si>
    <t xml:space="preserve">REQ-DIE-007</t>
  </si>
  <si>
    <t xml:space="preserve">식단 사진 기록</t>
  </si>
  <si>
    <r>
      <rPr>
        <sz val="9"/>
        <rFont val="Noto Sans CJK SC"/>
        <family val="2"/>
      </rPr>
      <t xml:space="preserve">식사 사진을 첨부하여 영양성분 입력 없이도 식사 흐름만 간편 기록할 수 있도록 한다</t>
    </r>
    <r>
      <rPr>
        <sz val="9"/>
        <rFont val="Malgun Gothic"/>
        <family val="0"/>
        <charset val="1"/>
      </rPr>
      <t xml:space="preserve">.</t>
    </r>
  </si>
  <si>
    <t xml:space="preserve">FN-DIE-012</t>
  </si>
  <si>
    <t xml:space="preserve">REQ-TOL-001</t>
  </si>
  <si>
    <t xml:space="preserve">보조도구</t>
  </si>
  <si>
    <t xml:space="preserve">타이머</t>
  </si>
  <si>
    <t xml:space="preserve">휴식 타이머</t>
  </si>
  <si>
    <r>
      <rPr>
        <sz val="9"/>
        <rFont val="Noto Sans CJK SC"/>
        <family val="2"/>
      </rPr>
      <t xml:space="preserve">세트 완료 시 자동 시작되는 휴식 타이머를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종목별 기본 휴식시간 설정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백그라운드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화면잠금 상태 동작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종료 시 진동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알림을 지원한다</t>
    </r>
    <r>
      <rPr>
        <sz val="9"/>
        <rFont val="Malgun Gothic"/>
        <family val="0"/>
        <charset val="1"/>
      </rPr>
      <t xml:space="preserve">.</t>
    </r>
  </si>
  <si>
    <t xml:space="preserve">FN-TOL-001~005</t>
  </si>
  <si>
    <t xml:space="preserve">REQ-TOL-002</t>
  </si>
  <si>
    <t xml:space="preserve">인터벌 타이머</t>
  </si>
  <si>
    <r>
      <rPr>
        <sz val="9"/>
        <rFont val="Noto Sans CJK SC"/>
        <family val="2"/>
      </rPr>
      <t xml:space="preserve">운동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휴식 구간과 라운드 수를 설정하는 인터벌 타이머를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서킷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타바타 프리셋을 저장한다</t>
    </r>
    <r>
      <rPr>
        <sz val="9"/>
        <rFont val="Malgun Gothic"/>
        <family val="0"/>
        <charset val="1"/>
      </rPr>
      <t xml:space="preserve">.</t>
    </r>
  </si>
  <si>
    <t xml:space="preserve">FN-TOL-006~007</t>
  </si>
  <si>
    <t xml:space="preserve">REQ-TOL-003</t>
  </si>
  <si>
    <t xml:space="preserve">계산기</t>
  </si>
  <si>
    <t xml:space="preserve">원판 계산기</t>
  </si>
  <si>
    <r>
      <rPr>
        <sz val="9"/>
        <rFont val="Noto Sans CJK SC"/>
        <family val="2"/>
      </rPr>
      <t xml:space="preserve">목표 중량과 바 무게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보유 원판 구성을 입력하면 한쪽에 끼울 원판 조합을 최소 개수로 산출한다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보유 원판 스펙은 사용자가 등록한다</t>
    </r>
    <r>
      <rPr>
        <sz val="9"/>
        <rFont val="Malgun Gothic"/>
        <family val="0"/>
        <charset val="1"/>
      </rPr>
      <t xml:space="preserve">.</t>
    </r>
  </si>
  <si>
    <t xml:space="preserve">FN-TOL-008~009</t>
  </si>
  <si>
    <t xml:space="preserve">REQ-TOL-004</t>
  </si>
  <si>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계산기</t>
    </r>
  </si>
  <si>
    <r>
      <rPr>
        <sz val="9"/>
        <rFont val="Noto Sans CJK SC"/>
        <family val="2"/>
      </rPr>
      <t xml:space="preserve">임의의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횟수를 입력하여 추정 </t>
    </r>
    <r>
      <rPr>
        <sz val="9"/>
        <rFont val="Malgun Gothic"/>
        <family val="0"/>
        <charset val="1"/>
      </rPr>
      <t xml:space="preserve">1RM</t>
    </r>
    <r>
      <rPr>
        <sz val="9"/>
        <rFont val="Noto Sans CJK SC"/>
        <family val="2"/>
      </rPr>
      <t xml:space="preserve">과 강도별 목표 중량 표</t>
    </r>
    <r>
      <rPr>
        <sz val="9"/>
        <rFont val="Malgun Gothic"/>
        <family val="0"/>
        <charset val="1"/>
      </rPr>
      <t xml:space="preserve">(50~100%)</t>
    </r>
    <r>
      <rPr>
        <sz val="9"/>
        <rFont val="Noto Sans CJK SC"/>
        <family val="2"/>
      </rPr>
      <t xml:space="preserve">를 산출한다</t>
    </r>
    <r>
      <rPr>
        <sz val="9"/>
        <rFont val="Malgun Gothic"/>
        <family val="0"/>
        <charset val="1"/>
      </rPr>
      <t xml:space="preserve">.</t>
    </r>
  </si>
  <si>
    <t xml:space="preserve">FN-TOL-010</t>
  </si>
  <si>
    <t xml:space="preserve">REQ-TOL-005</t>
  </si>
  <si>
    <t xml:space="preserve">운동 알림 및 리마인더</t>
  </si>
  <si>
    <r>
      <rPr>
        <sz val="9"/>
        <rFont val="Noto Sans CJK SC"/>
        <family val="2"/>
      </rPr>
      <t xml:space="preserve">요일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시간 기반 운동 알림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미기록 일자 리마인더를 설정한다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알림 채널별 </t>
    </r>
    <r>
      <rPr>
        <sz val="9"/>
        <rFont val="Malgun Gothic"/>
        <family val="0"/>
        <charset val="1"/>
      </rPr>
      <t xml:space="preserve">On/Off</t>
    </r>
    <r>
      <rPr>
        <sz val="9"/>
        <rFont val="Noto Sans CJK SC"/>
        <family val="2"/>
      </rPr>
      <t xml:space="preserve">를 제공한다</t>
    </r>
    <r>
      <rPr>
        <sz val="9"/>
        <rFont val="Malgun Gothic"/>
        <family val="0"/>
        <charset val="1"/>
      </rPr>
      <t xml:space="preserve">.</t>
    </r>
  </si>
  <si>
    <t xml:space="preserve">FN-TOL-011~012</t>
  </si>
  <si>
    <t xml:space="preserve">REQ-TOL-006</t>
  </si>
  <si>
    <t xml:space="preserve">연동</t>
  </si>
  <si>
    <r>
      <rPr>
        <sz val="9"/>
        <rFont val="Malgun Gothic"/>
        <family val="0"/>
        <charset val="1"/>
      </rPr>
      <t xml:space="preserve">Wear OS </t>
    </r>
    <r>
      <rPr>
        <sz val="9"/>
        <rFont val="Noto Sans CJK SC"/>
        <family val="2"/>
      </rPr>
      <t xml:space="preserve">워치 연동</t>
    </r>
  </si>
  <si>
    <r>
      <rPr>
        <sz val="9"/>
        <rFont val="Noto Sans CJK SC"/>
        <family val="2"/>
      </rPr>
      <t xml:space="preserve">갤럭시 워치 등 </t>
    </r>
    <r>
      <rPr>
        <sz val="9"/>
        <rFont val="Malgun Gothic"/>
        <family val="0"/>
        <charset val="1"/>
      </rPr>
      <t xml:space="preserve">Wear OS </t>
    </r>
    <r>
      <rPr>
        <sz val="9"/>
        <rFont val="Noto Sans CJK SC"/>
        <family val="2"/>
      </rPr>
      <t xml:space="preserve">기기에서 세트 완료 체크와 휴식 타이머를 조작한다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휴대폰 없이 운동에 집중할 수 있도록 한다</t>
    </r>
    <r>
      <rPr>
        <sz val="9"/>
        <rFont val="Malgun Gothic"/>
        <family val="0"/>
        <charset val="1"/>
      </rPr>
      <t xml:space="preserve">.</t>
    </r>
  </si>
  <si>
    <t xml:space="preserve">FN-TOL-013~015</t>
  </si>
  <si>
    <t xml:space="preserve">REQ-TOL-007</t>
  </si>
  <si>
    <r>
      <rPr>
        <sz val="9"/>
        <rFont val="Malgun Gothic"/>
        <family val="0"/>
        <charset val="1"/>
      </rPr>
      <t xml:space="preserve">Health Connect </t>
    </r>
    <r>
      <rPr>
        <sz val="9"/>
        <rFont val="Noto Sans CJK SC"/>
        <family val="2"/>
      </rPr>
      <t xml:space="preserve">연동</t>
    </r>
  </si>
  <si>
    <r>
      <rPr>
        <sz val="9"/>
        <rFont val="Malgun Gothic"/>
        <family val="0"/>
        <charset val="1"/>
      </rPr>
      <t xml:space="preserve">Android Health Connect</t>
    </r>
    <r>
      <rPr>
        <sz val="9"/>
        <rFont val="Noto Sans CJK SC"/>
        <family val="2"/>
      </rPr>
      <t xml:space="preserve">를 통해 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운동 세션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소모 칼로리를 읽고 쓴다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삼성헬스 등 타 앱과 데이터를 공유한다</t>
    </r>
    <r>
      <rPr>
        <sz val="9"/>
        <rFont val="Malgun Gothic"/>
        <family val="0"/>
        <charset val="1"/>
      </rPr>
      <t xml:space="preserve">.</t>
    </r>
  </si>
  <si>
    <t xml:space="preserve">FN-TOL-016~017</t>
  </si>
  <si>
    <t xml:space="preserve">REQ-DAT-001</t>
  </si>
  <si>
    <t xml:space="preserve">데이터관리</t>
  </si>
  <si>
    <t xml:space="preserve">저장</t>
  </si>
  <si>
    <t xml:space="preserve">로컬 우선 저장 구조</t>
  </si>
  <si>
    <r>
      <rPr>
        <sz val="9"/>
        <rFont val="Noto Sans CJK SC"/>
        <family val="2"/>
      </rPr>
      <t xml:space="preserve">모든 데이터는 단말 로컬 </t>
    </r>
    <r>
      <rPr>
        <sz val="9"/>
        <rFont val="Malgun Gothic"/>
        <family val="0"/>
        <charset val="1"/>
      </rPr>
      <t xml:space="preserve">DB(Room)</t>
    </r>
    <r>
      <rPr>
        <sz val="9"/>
        <rFont val="Noto Sans CJK SC"/>
        <family val="2"/>
      </rPr>
      <t xml:space="preserve">를 단일 진실 공급원으로 저장하고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네트워크 연결 없이 전체 기능이 동작한다</t>
    </r>
    <r>
      <rPr>
        <sz val="9"/>
        <rFont val="Malgun Gothic"/>
        <family val="0"/>
        <charset val="1"/>
      </rPr>
      <t xml:space="preserve">.</t>
    </r>
  </si>
  <si>
    <t xml:space="preserve">FN-DAT-001</t>
  </si>
  <si>
    <t xml:space="preserve">REQ-DAT-002</t>
  </si>
  <si>
    <t xml:space="preserve">동기화</t>
  </si>
  <si>
    <t xml:space="preserve">개인 서버 동기화</t>
  </si>
  <si>
    <r>
      <rPr>
        <sz val="9"/>
        <rFont val="Noto Sans CJK SC"/>
        <family val="2"/>
      </rPr>
      <t xml:space="preserve">사용자 개인 서버</t>
    </r>
    <r>
      <rPr>
        <sz val="9"/>
        <rFont val="Malgun Gothic"/>
        <family val="0"/>
        <charset val="1"/>
      </rPr>
      <t xml:space="preserve">(Ubuntu, 7bits.mooo.com)</t>
    </r>
    <r>
      <rPr>
        <sz val="9"/>
        <rFont val="Noto Sans CJK SC"/>
        <family val="2"/>
      </rPr>
      <t xml:space="preserve">에 </t>
    </r>
    <r>
      <rPr>
        <sz val="9"/>
        <rFont val="Malgun Gothic"/>
        <family val="0"/>
        <charset val="1"/>
      </rPr>
      <t xml:space="preserve">REST API </t>
    </r>
    <r>
      <rPr>
        <sz val="9"/>
        <rFont val="Noto Sans CJK SC"/>
        <family val="2"/>
      </rPr>
      <t xml:space="preserve">기반으로 데이터를 동기화한다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최종 수정시각 기준 충돌 해소</t>
    </r>
    <r>
      <rPr>
        <sz val="9"/>
        <rFont val="Malgun Gothic"/>
        <family val="0"/>
        <charset val="1"/>
      </rPr>
      <t xml:space="preserve">(Last-Write-Wins)</t>
    </r>
    <r>
      <rPr>
        <sz val="9"/>
        <rFont val="Noto Sans CJK SC"/>
        <family val="2"/>
      </rPr>
      <t xml:space="preserve">와 논리 삭제</t>
    </r>
    <r>
      <rPr>
        <sz val="9"/>
        <rFont val="Malgun Gothic"/>
        <family val="0"/>
        <charset val="1"/>
      </rPr>
      <t xml:space="preserve">(tombstone)</t>
    </r>
    <r>
      <rPr>
        <sz val="9"/>
        <rFont val="Noto Sans CJK SC"/>
        <family val="2"/>
      </rPr>
      <t xml:space="preserve">를 적용한다</t>
    </r>
    <r>
      <rPr>
        <sz val="9"/>
        <rFont val="Malgun Gothic"/>
        <family val="0"/>
        <charset val="1"/>
      </rPr>
      <t xml:space="preserve">.</t>
    </r>
  </si>
  <si>
    <t xml:space="preserve">FN-DAT-002~005</t>
  </si>
  <si>
    <t xml:space="preserve">REQ-DAT-003</t>
  </si>
  <si>
    <t xml:space="preserve">백업</t>
  </si>
  <si>
    <t xml:space="preserve">백업 및 복구</t>
  </si>
  <si>
    <r>
      <rPr>
        <sz val="9"/>
        <rFont val="Noto Sans CJK SC"/>
        <family val="2"/>
      </rPr>
      <t xml:space="preserve">전체 데이터를 </t>
    </r>
    <r>
      <rPr>
        <sz val="9"/>
        <rFont val="Malgun Gothic"/>
        <family val="0"/>
        <charset val="1"/>
      </rPr>
      <t xml:space="preserve">JSON</t>
    </r>
    <r>
      <rPr>
        <sz val="9"/>
        <rFont val="Noto Sans CJK SC"/>
        <family val="2"/>
      </rPr>
      <t xml:space="preserve">으로 내보내고 파일에서 복구한다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기록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신체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식단 데이터의 </t>
    </r>
    <r>
      <rPr>
        <sz val="9"/>
        <rFont val="Malgun Gothic"/>
        <family val="0"/>
        <charset val="1"/>
      </rPr>
      <t xml:space="preserve">CSV </t>
    </r>
    <r>
      <rPr>
        <sz val="9"/>
        <rFont val="Noto Sans CJK SC"/>
        <family val="2"/>
      </rPr>
      <t xml:space="preserve">내보내기를 별도 제공한다</t>
    </r>
    <r>
      <rPr>
        <sz val="9"/>
        <rFont val="Malgun Gothic"/>
        <family val="0"/>
        <charset val="1"/>
      </rPr>
      <t xml:space="preserve">.</t>
    </r>
  </si>
  <si>
    <t xml:space="preserve">FN-DAT-006~009</t>
  </si>
  <si>
    <t xml:space="preserve">REQ-DAT-004</t>
  </si>
  <si>
    <t xml:space="preserve">이전</t>
  </si>
  <si>
    <t xml:space="preserve">기기 이전</t>
  </si>
  <si>
    <r>
      <rPr>
        <sz val="9"/>
        <rFont val="Noto Sans CJK SC"/>
        <family val="2"/>
      </rPr>
      <t xml:space="preserve">백업 파일 또는 서버 동기화를 통해 신규 기기로 전체 데이터를 이전한다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이전 시 중복 데이터가 발생하지 않아야 한다</t>
    </r>
    <r>
      <rPr>
        <sz val="9"/>
        <rFont val="Malgun Gothic"/>
        <family val="0"/>
        <charset val="1"/>
      </rPr>
      <t xml:space="preserve">.</t>
    </r>
  </si>
  <si>
    <t xml:space="preserve">FN-DAT-010</t>
  </si>
  <si>
    <t xml:space="preserve">REQ-DAT-005</t>
  </si>
  <si>
    <t xml:space="preserve">초기화</t>
  </si>
  <si>
    <t xml:space="preserve">데이터 초기화</t>
  </si>
  <si>
    <r>
      <rPr>
        <sz val="9"/>
        <rFont val="Noto Sans CJK SC"/>
        <family val="2"/>
      </rPr>
      <t xml:space="preserve">선택적 데이터 삭제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기간 지정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및 전체 초기화를 제공한다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실행 전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단계 확인을 요구한다</t>
    </r>
    <r>
      <rPr>
        <sz val="9"/>
        <rFont val="Malgun Gothic"/>
        <family val="0"/>
        <charset val="1"/>
      </rPr>
      <t xml:space="preserve">.</t>
    </r>
  </si>
  <si>
    <t xml:space="preserve">FN-DAT-011~012</t>
  </si>
  <si>
    <t xml:space="preserve">REQ-NFR-001</t>
  </si>
  <si>
    <t xml:space="preserve">비기능</t>
  </si>
  <si>
    <t xml:space="preserve">성능</t>
  </si>
  <si>
    <t xml:space="preserve">화면 응답 성능</t>
  </si>
  <si>
    <r>
      <rPr>
        <sz val="9"/>
        <rFont val="Noto Sans CJK SC"/>
        <family val="2"/>
      </rPr>
      <t xml:space="preserve">운동일지 화면 진입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초 이내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 입력 후 화면 반영 </t>
    </r>
    <r>
      <rPr>
        <sz val="9"/>
        <rFont val="Malgun Gothic"/>
        <family val="0"/>
        <charset val="1"/>
      </rPr>
      <t xml:space="preserve">100ms </t>
    </r>
    <r>
      <rPr>
        <sz val="9"/>
        <rFont val="Noto Sans CJK SC"/>
        <family val="2"/>
      </rPr>
      <t xml:space="preserve">이내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종목 검색 결과 표시 </t>
    </r>
    <r>
      <rPr>
        <sz val="9"/>
        <rFont val="Malgun Gothic"/>
        <family val="0"/>
        <charset val="1"/>
      </rPr>
      <t xml:space="preserve">300ms </t>
    </r>
    <r>
      <rPr>
        <sz val="9"/>
        <rFont val="Noto Sans CJK SC"/>
        <family val="2"/>
      </rPr>
      <t xml:space="preserve">이내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기록 </t>
    </r>
    <r>
      <rPr>
        <sz val="9"/>
        <rFont val="Malgun Gothic"/>
        <family val="0"/>
        <charset val="1"/>
      </rPr>
      <t xml:space="preserve">3</t>
    </r>
    <r>
      <rPr>
        <sz val="9"/>
        <rFont val="Noto Sans CJK SC"/>
        <family val="2"/>
      </rPr>
      <t xml:space="preserve">년치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약 </t>
    </r>
    <r>
      <rPr>
        <sz val="9"/>
        <rFont val="Malgun Gothic"/>
        <family val="0"/>
        <charset val="1"/>
      </rPr>
      <t xml:space="preserve">30,000 </t>
    </r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누적 상태에서도 동일 기준을 충족한다</t>
    </r>
    <r>
      <rPr>
        <sz val="9"/>
        <rFont val="Malgun Gothic"/>
        <family val="0"/>
        <charset val="1"/>
      </rPr>
      <t xml:space="preserve">.</t>
    </r>
  </si>
  <si>
    <t xml:space="preserve">전체</t>
  </si>
  <si>
    <t xml:space="preserve">REQ-NFR-002</t>
  </si>
  <si>
    <t xml:space="preserve">사용성</t>
  </si>
  <si>
    <t xml:space="preserve">한손 조작 및 터치 편의성</t>
  </si>
  <si>
    <r>
      <rPr>
        <sz val="9"/>
        <rFont val="Noto Sans CJK SC"/>
        <family val="2"/>
      </rPr>
      <t xml:space="preserve">운동 수행 화면의 주요 조작 요소는 화면 하단 </t>
    </r>
    <r>
      <rPr>
        <sz val="9"/>
        <rFont val="Malgun Gothic"/>
        <family val="0"/>
        <charset val="1"/>
      </rPr>
      <t xml:space="preserve">1/3 </t>
    </r>
    <r>
      <rPr>
        <sz val="9"/>
        <rFont val="Noto Sans CJK SC"/>
        <family val="2"/>
      </rPr>
      <t xml:space="preserve">영역에 배치하고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모든 터치 타겟은 </t>
    </r>
    <r>
      <rPr>
        <sz val="9"/>
        <rFont val="Malgun Gothic"/>
        <family val="0"/>
        <charset val="1"/>
      </rPr>
      <t xml:space="preserve">48dp </t>
    </r>
    <r>
      <rPr>
        <sz val="9"/>
        <rFont val="Noto Sans CJK SC"/>
        <family val="2"/>
      </rPr>
      <t xml:space="preserve">이상을 확보한다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장갑 착용 상태의 오조작을 고려해 삭제 등 파괴적 동작에는 확인 절차를 둔다</t>
    </r>
    <r>
      <rPr>
        <sz val="9"/>
        <rFont val="Malgun Gothic"/>
        <family val="0"/>
        <charset val="1"/>
      </rPr>
      <t xml:space="preserve">.</t>
    </r>
  </si>
  <si>
    <t xml:space="preserve">REQ-NFR-003</t>
  </si>
  <si>
    <t xml:space="preserve">가용성</t>
  </si>
  <si>
    <t xml:space="preserve">완전 오프라인 동작</t>
  </si>
  <si>
    <r>
      <rPr>
        <sz val="9"/>
        <rFont val="Noto Sans CJK SC"/>
        <family val="2"/>
      </rPr>
      <t xml:space="preserve">헬스장 지하 등 네트워크 불가 환경에서 기록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조회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분석 전 기능이 정상 동작한다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동기화는 네트워크 복구 시 </t>
    </r>
    <r>
      <rPr>
        <sz val="9"/>
        <rFont val="Malgun Gothic"/>
        <family val="0"/>
        <charset val="1"/>
      </rPr>
      <t xml:space="preserve">WorkManager</t>
    </r>
    <r>
      <rPr>
        <sz val="9"/>
        <rFont val="Noto Sans CJK SC"/>
        <family val="2"/>
      </rPr>
      <t xml:space="preserve">로 지연 수행한다</t>
    </r>
    <r>
      <rPr>
        <sz val="9"/>
        <rFont val="Malgun Gothic"/>
        <family val="0"/>
        <charset val="1"/>
      </rPr>
      <t xml:space="preserve">.</t>
    </r>
  </si>
  <si>
    <t xml:space="preserve">REQ-NFR-004</t>
  </si>
  <si>
    <t xml:space="preserve">보안</t>
  </si>
  <si>
    <t xml:space="preserve">데이터 보안</t>
  </si>
  <si>
    <r>
      <rPr>
        <sz val="9"/>
        <rFont val="Noto Sans CJK SC"/>
        <family val="2"/>
      </rPr>
      <t xml:space="preserve">개인 서버 통신은 </t>
    </r>
    <r>
      <rPr>
        <sz val="9"/>
        <rFont val="Malgun Gothic"/>
        <family val="0"/>
        <charset val="1"/>
      </rPr>
      <t xml:space="preserve">HTTPS(Let's Encrypt)</t>
    </r>
    <r>
      <rPr>
        <sz val="9"/>
        <rFont val="Noto Sans CJK SC"/>
        <family val="2"/>
      </rPr>
      <t xml:space="preserve">를 사용하고 </t>
    </r>
    <r>
      <rPr>
        <sz val="9"/>
        <rFont val="Malgun Gothic"/>
        <family val="0"/>
        <charset val="1"/>
      </rPr>
      <t xml:space="preserve">JWT </t>
    </r>
    <r>
      <rPr>
        <sz val="9"/>
        <rFont val="Noto Sans CJK SC"/>
        <family val="2"/>
      </rPr>
      <t xml:space="preserve">기반 인증을 적용한다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토큰은 </t>
    </r>
    <r>
      <rPr>
        <sz val="9"/>
        <rFont val="Malgun Gothic"/>
        <family val="0"/>
        <charset val="1"/>
      </rPr>
      <t xml:space="preserve">EncryptedSharedPreferences</t>
    </r>
    <r>
      <rPr>
        <sz val="9"/>
        <rFont val="Noto Sans CJK SC"/>
        <family val="2"/>
      </rPr>
      <t xml:space="preserve">에 보관한다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신체 사진은 앱 전용 내부 저장소에 저장하고 </t>
    </r>
    <r>
      <rPr>
        <sz val="9"/>
        <rFont val="Malgun Gothic"/>
        <family val="0"/>
        <charset val="1"/>
      </rPr>
      <t xml:space="preserve">MediaStore</t>
    </r>
    <r>
      <rPr>
        <sz val="9"/>
        <rFont val="Noto Sans CJK SC"/>
        <family val="2"/>
      </rPr>
      <t xml:space="preserve">에 등록하지 않는다</t>
    </r>
    <r>
      <rPr>
        <sz val="9"/>
        <rFont val="Malgun Gothic"/>
        <family val="0"/>
        <charset val="1"/>
      </rPr>
      <t xml:space="preserve">.</t>
    </r>
  </si>
  <si>
    <t xml:space="preserve">REQ-NFR-005</t>
  </si>
  <si>
    <t xml:space="preserve">호환성</t>
  </si>
  <si>
    <r>
      <rPr>
        <sz val="9"/>
        <rFont val="Noto Sans CJK SC"/>
        <family val="2"/>
      </rPr>
      <t xml:space="preserve">단말 및 </t>
    </r>
    <r>
      <rPr>
        <sz val="9"/>
        <rFont val="Malgun Gothic"/>
        <family val="0"/>
        <charset val="1"/>
      </rPr>
      <t xml:space="preserve">OS </t>
    </r>
    <r>
      <rPr>
        <sz val="9"/>
        <rFont val="Noto Sans CJK SC"/>
        <family val="2"/>
      </rPr>
      <t xml:space="preserve">지원 범위</t>
    </r>
  </si>
  <si>
    <r>
      <rPr>
        <sz val="9"/>
        <rFont val="Malgun Gothic"/>
        <family val="0"/>
        <charset val="1"/>
      </rPr>
      <t xml:space="preserve">Android 8.0(API 26) </t>
    </r>
    <r>
      <rPr>
        <sz val="9"/>
        <rFont val="Noto Sans CJK SC"/>
        <family val="2"/>
      </rPr>
      <t xml:space="preserve">이상을 지원한다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화면 폭 </t>
    </r>
    <r>
      <rPr>
        <sz val="9"/>
        <rFont val="Malgun Gothic"/>
        <family val="0"/>
        <charset val="1"/>
      </rPr>
      <t xml:space="preserve">360dp </t>
    </r>
    <r>
      <rPr>
        <sz val="9"/>
        <rFont val="Noto Sans CJK SC"/>
        <family val="2"/>
      </rPr>
      <t xml:space="preserve">이상 단말과 다크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라이트 테마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시스템 글꼴 크기 확대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최대 </t>
    </r>
    <r>
      <rPr>
        <sz val="9"/>
        <rFont val="Malgun Gothic"/>
        <family val="0"/>
        <charset val="1"/>
      </rPr>
      <t xml:space="preserve">130%)</t>
    </r>
    <r>
      <rPr>
        <sz val="9"/>
        <rFont val="Noto Sans CJK SC"/>
        <family val="2"/>
      </rPr>
      <t xml:space="preserve">에 대응한다</t>
    </r>
    <r>
      <rPr>
        <sz val="9"/>
        <rFont val="Malgun Gothic"/>
        <family val="0"/>
        <charset val="1"/>
      </rPr>
      <t xml:space="preserve">.</t>
    </r>
  </si>
  <si>
    <t xml:space="preserve">REQ-NFR-006</t>
  </si>
  <si>
    <t xml:space="preserve">확장성</t>
  </si>
  <si>
    <t xml:space="preserve">데이터 스키마 확장성</t>
  </si>
  <si>
    <r>
      <rPr>
        <sz val="9"/>
        <rFont val="Noto Sans CJK SC"/>
        <family val="2"/>
      </rPr>
      <t xml:space="preserve">종목 기록 필드가 유형별로 상이한 점을 고려해 세트 엔티티는 확장 가능한 구조로 설계하고</t>
    </r>
    <r>
      <rPr>
        <sz val="9"/>
        <rFont val="Malgun Gothic"/>
        <family val="0"/>
        <charset val="1"/>
      </rPr>
      <t xml:space="preserve">, DB </t>
    </r>
    <r>
      <rPr>
        <sz val="9"/>
        <rFont val="Noto Sans CJK SC"/>
        <family val="2"/>
      </rPr>
      <t xml:space="preserve">스키마 변경 시 </t>
    </r>
    <r>
      <rPr>
        <sz val="9"/>
        <rFont val="Malgun Gothic"/>
        <family val="0"/>
        <charset val="1"/>
      </rPr>
      <t xml:space="preserve">Room Migration</t>
    </r>
    <r>
      <rPr>
        <sz val="9"/>
        <rFont val="Noto Sans CJK SC"/>
        <family val="2"/>
      </rPr>
      <t xml:space="preserve">을 통해 기존 데이터를 보존한다</t>
    </r>
    <r>
      <rPr>
        <sz val="9"/>
        <rFont val="Malgun Gothic"/>
        <family val="0"/>
        <charset val="1"/>
      </rPr>
      <t xml:space="preserve">.</t>
    </r>
  </si>
  <si>
    <t xml:space="preserve">REQ-NFR-007</t>
  </si>
  <si>
    <t xml:space="preserve">유지보수성</t>
  </si>
  <si>
    <t xml:space="preserve">아키텍처 및 기술 스택</t>
  </si>
  <si>
    <r>
      <rPr>
        <sz val="9"/>
        <rFont val="Malgun Gothic"/>
        <family val="0"/>
        <charset val="1"/>
      </rPr>
      <t xml:space="preserve">Kotlin + Jetpack Compose </t>
    </r>
    <r>
      <rPr>
        <sz val="9"/>
        <rFont val="Noto Sans CJK SC"/>
        <family val="2"/>
      </rPr>
      <t xml:space="preserve">기반</t>
    </r>
    <r>
      <rPr>
        <sz val="9"/>
        <rFont val="Malgun Gothic"/>
        <family val="0"/>
        <charset val="1"/>
      </rPr>
      <t xml:space="preserve">, Clean Architecture(Presentation/Domain/Data) 3</t>
    </r>
    <r>
      <rPr>
        <sz val="9"/>
        <rFont val="Noto Sans CJK SC"/>
        <family val="2"/>
      </rPr>
      <t xml:space="preserve">계층과 </t>
    </r>
    <r>
      <rPr>
        <sz val="9"/>
        <rFont val="Malgun Gothic"/>
        <family val="0"/>
        <charset val="1"/>
      </rPr>
      <t xml:space="preserve">MVVM</t>
    </r>
    <r>
      <rPr>
        <sz val="9"/>
        <rFont val="Noto Sans CJK SC"/>
        <family val="2"/>
      </rPr>
      <t xml:space="preserve">을 적용한다</t>
    </r>
    <r>
      <rPr>
        <sz val="9"/>
        <rFont val="Malgun Gothic"/>
        <family val="0"/>
        <charset val="1"/>
      </rPr>
      <t xml:space="preserve">. DI</t>
    </r>
    <r>
      <rPr>
        <sz val="9"/>
        <rFont val="Noto Sans CJK SC"/>
        <family val="2"/>
      </rPr>
      <t xml:space="preserve">는 </t>
    </r>
    <r>
      <rPr>
        <sz val="9"/>
        <rFont val="Malgun Gothic"/>
        <family val="0"/>
        <charset val="1"/>
      </rPr>
      <t xml:space="preserve">Hilt, </t>
    </r>
    <r>
      <rPr>
        <sz val="9"/>
        <rFont val="Noto Sans CJK SC"/>
        <family val="2"/>
      </rPr>
      <t xml:space="preserve">로컬</t>
    </r>
    <r>
      <rPr>
        <sz val="9"/>
        <rFont val="Malgun Gothic"/>
        <family val="0"/>
        <charset val="1"/>
      </rPr>
      <t xml:space="preserve">DB</t>
    </r>
    <r>
      <rPr>
        <sz val="9"/>
        <rFont val="Noto Sans CJK SC"/>
        <family val="2"/>
      </rPr>
      <t xml:space="preserve">는 </t>
    </r>
    <r>
      <rPr>
        <sz val="9"/>
        <rFont val="Malgun Gothic"/>
        <family val="0"/>
        <charset val="1"/>
      </rPr>
      <t xml:space="preserve">Room, </t>
    </r>
    <r>
      <rPr>
        <sz val="9"/>
        <rFont val="Noto Sans CJK SC"/>
        <family val="2"/>
      </rPr>
      <t xml:space="preserve">통신은 </t>
    </r>
    <r>
      <rPr>
        <sz val="9"/>
        <rFont val="Malgun Gothic"/>
        <family val="0"/>
        <charset val="1"/>
      </rPr>
      <t xml:space="preserve">Retrofit+OkHttp, </t>
    </r>
    <r>
      <rPr>
        <sz val="9"/>
        <rFont val="Noto Sans CJK SC"/>
        <family val="2"/>
      </rPr>
      <t xml:space="preserve">비동기는 </t>
    </r>
    <r>
      <rPr>
        <sz val="9"/>
        <rFont val="Malgun Gothic"/>
        <family val="0"/>
        <charset val="1"/>
      </rPr>
      <t xml:space="preserve">Coroutines/Flow, </t>
    </r>
    <r>
      <rPr>
        <sz val="9"/>
        <rFont val="Noto Sans CJK SC"/>
        <family val="2"/>
      </rPr>
      <t xml:space="preserve">백그라운드 작업은 </t>
    </r>
    <r>
      <rPr>
        <sz val="9"/>
        <rFont val="Malgun Gothic"/>
        <family val="0"/>
        <charset val="1"/>
      </rPr>
      <t xml:space="preserve">WorkManager</t>
    </r>
    <r>
      <rPr>
        <sz val="9"/>
        <rFont val="Noto Sans CJK SC"/>
        <family val="2"/>
      </rPr>
      <t xml:space="preserve">를 사용한다</t>
    </r>
    <r>
      <rPr>
        <sz val="9"/>
        <rFont val="Malgun Gothic"/>
        <family val="0"/>
        <charset val="1"/>
      </rPr>
      <t xml:space="preserve">.</t>
    </r>
  </si>
  <si>
    <t xml:space="preserve">REQ-NFR-008</t>
  </si>
  <si>
    <t xml:space="preserve">품질</t>
  </si>
  <si>
    <t xml:space="preserve">테스트 및 검증</t>
  </si>
  <si>
    <r>
      <rPr>
        <sz val="9"/>
        <rFont val="Malgun Gothic"/>
        <family val="0"/>
        <charset val="1"/>
      </rPr>
      <t xml:space="preserve">Domain </t>
    </r>
    <r>
      <rPr>
        <sz val="9"/>
        <rFont val="Noto Sans CJK SC"/>
        <family val="2"/>
      </rPr>
      <t xml:space="preserve">계층 </t>
    </r>
    <r>
      <rPr>
        <sz val="9"/>
        <rFont val="Malgun Gothic"/>
        <family val="0"/>
        <charset val="1"/>
      </rPr>
      <t xml:space="preserve">UseCase</t>
    </r>
    <r>
      <rPr>
        <sz val="9"/>
        <rFont val="Noto Sans CJK SC"/>
        <family val="2"/>
      </rPr>
      <t xml:space="preserve">와 </t>
    </r>
    <r>
      <rPr>
        <sz val="9"/>
        <rFont val="Malgun Gothic"/>
        <family val="0"/>
        <charset val="1"/>
      </rPr>
      <t xml:space="preserve">1RM·</t>
    </r>
    <r>
      <rPr>
        <sz val="9"/>
        <rFont val="Noto Sans CJK SC"/>
        <family val="2"/>
      </rPr>
      <t xml:space="preserve">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원판 계산 로직은 단위 테스트 커버리지 </t>
    </r>
    <r>
      <rPr>
        <sz val="9"/>
        <rFont val="Malgun Gothic"/>
        <family val="0"/>
        <charset val="1"/>
      </rPr>
      <t xml:space="preserve">80% </t>
    </r>
    <r>
      <rPr>
        <sz val="9"/>
        <rFont val="Noto Sans CJK SC"/>
        <family val="2"/>
      </rPr>
      <t xml:space="preserve">이상을 확보한다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주요 화면은 </t>
    </r>
    <r>
      <rPr>
        <sz val="9"/>
        <rFont val="Malgun Gothic"/>
        <family val="0"/>
        <charset val="1"/>
      </rPr>
      <t xml:space="preserve">Compose UI </t>
    </r>
    <r>
      <rPr>
        <sz val="9"/>
        <rFont val="Noto Sans CJK SC"/>
        <family val="2"/>
      </rPr>
      <t xml:space="preserve">테스트를 작성한다</t>
    </r>
    <r>
      <rPr>
        <sz val="9"/>
        <rFont val="Malgun Gothic"/>
        <family val="0"/>
        <charset val="1"/>
      </rPr>
      <t xml:space="preserve">.</t>
    </r>
  </si>
  <si>
    <t xml:space="preserve">REQ-NFR-009</t>
  </si>
  <si>
    <t xml:space="preserve">제약</t>
  </si>
  <si>
    <t xml:space="preserve">저작권 및 라이선스 준수</t>
  </si>
  <si>
    <r>
      <rPr>
        <sz val="9"/>
        <rFont val="Noto Sans CJK SC"/>
        <family val="2"/>
      </rPr>
      <t xml:space="preserve">상용 앱의 </t>
    </r>
    <r>
      <rPr>
        <sz val="9"/>
        <rFont val="Malgun Gothic"/>
        <family val="0"/>
        <charset val="1"/>
      </rPr>
      <t xml:space="preserve">UI </t>
    </r>
    <r>
      <rPr>
        <sz val="9"/>
        <rFont val="Noto Sans CJK SC"/>
        <family val="2"/>
      </rPr>
      <t xml:space="preserve">디자인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아이콘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동작 애니메이션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음식 </t>
    </r>
    <r>
      <rPr>
        <sz val="9"/>
        <rFont val="Malgun Gothic"/>
        <family val="0"/>
        <charset val="1"/>
      </rPr>
      <t xml:space="preserve">DB </t>
    </r>
    <r>
      <rPr>
        <sz val="9"/>
        <rFont val="Noto Sans CJK SC"/>
        <family val="2"/>
      </rPr>
      <t xml:space="preserve">등 저작물을 복제하지 않는다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종목 설명은 자체 작성하거나 공공데이터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오픈라이선스 자료만 사용한다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개인 사용 목적이며 배포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상업화 시 별도 검토가 필요하다</t>
    </r>
    <r>
      <rPr>
        <sz val="9"/>
        <rFont val="Malgun Gothic"/>
        <family val="0"/>
        <charset val="1"/>
      </rPr>
      <t xml:space="preserve">.</t>
    </r>
  </si>
  <si>
    <t xml:space="preserve">REQ-NFR-010</t>
  </si>
  <si>
    <t xml:space="preserve">운영</t>
  </si>
  <si>
    <t xml:space="preserve">백엔드 운영 환경</t>
  </si>
  <si>
    <r>
      <rPr>
        <sz val="9"/>
        <rFont val="Noto Sans CJK SC"/>
        <family val="2"/>
      </rPr>
      <t xml:space="preserve">개인 </t>
    </r>
    <r>
      <rPr>
        <sz val="9"/>
        <rFont val="Malgun Gothic"/>
        <family val="0"/>
        <charset val="1"/>
      </rPr>
      <t xml:space="preserve">Ubuntu </t>
    </r>
    <r>
      <rPr>
        <sz val="9"/>
        <rFont val="Noto Sans CJK SC"/>
        <family val="2"/>
      </rPr>
      <t xml:space="preserve">서버에 </t>
    </r>
    <r>
      <rPr>
        <sz val="9"/>
        <rFont val="Malgun Gothic"/>
        <family val="0"/>
        <charset val="1"/>
      </rPr>
      <t xml:space="preserve">Docker Compose</t>
    </r>
    <r>
      <rPr>
        <sz val="9"/>
        <rFont val="Noto Sans CJK SC"/>
        <family val="2"/>
      </rPr>
      <t xml:space="preserve">로 </t>
    </r>
    <r>
      <rPr>
        <sz val="9"/>
        <rFont val="Malgun Gothic"/>
        <family val="0"/>
        <charset val="1"/>
      </rPr>
      <t xml:space="preserve">API </t>
    </r>
    <r>
      <rPr>
        <sz val="9"/>
        <rFont val="Noto Sans CJK SC"/>
        <family val="2"/>
      </rPr>
      <t xml:space="preserve">서버와 </t>
    </r>
    <r>
      <rPr>
        <sz val="9"/>
        <rFont val="Malgun Gothic"/>
        <family val="0"/>
        <charset val="1"/>
      </rPr>
      <t xml:space="preserve">PostgreSQL</t>
    </r>
    <r>
      <rPr>
        <sz val="9"/>
        <rFont val="Noto Sans CJK SC"/>
        <family val="2"/>
      </rPr>
      <t xml:space="preserve">을 구동한다</t>
    </r>
    <r>
      <rPr>
        <sz val="9"/>
        <rFont val="Malgun Gothic"/>
        <family val="0"/>
        <charset val="1"/>
      </rPr>
      <t xml:space="preserve">. DB</t>
    </r>
    <r>
      <rPr>
        <sz val="9"/>
        <rFont val="Noto Sans CJK SC"/>
        <family val="2"/>
      </rPr>
      <t xml:space="preserve">는 일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회 자동 덤프하여 별도 경로에 보관한다</t>
    </r>
    <r>
      <rPr>
        <sz val="9"/>
        <rFont val="Malgun Gothic"/>
        <family val="0"/>
        <charset val="1"/>
      </rPr>
      <t xml:space="preserve">.</t>
    </r>
  </si>
  <si>
    <r>
      <rPr>
        <b val="true"/>
        <sz val="14"/>
        <color rgb="FF1F3864"/>
        <rFont val="Malgun Gothic"/>
        <family val="0"/>
        <charset val="1"/>
      </rPr>
      <t xml:space="preserve">3. </t>
    </r>
    <r>
      <rPr>
        <b val="true"/>
        <sz val="14"/>
        <color rgb="FF1F3864"/>
        <rFont val="Noto Sans CJK SC"/>
        <family val="2"/>
      </rPr>
      <t xml:space="preserve">기능정의서</t>
    </r>
  </si>
  <si>
    <r>
      <rPr>
        <i val="true"/>
        <sz val="9"/>
        <color rgb="FF595959"/>
        <rFont val="Noto Sans CJK SC"/>
        <family val="2"/>
      </rPr>
      <t xml:space="preserve">요구사항정의서의 각 요구사항을 구현 단위 기능으로 분해한 목록  </t>
    </r>
    <r>
      <rPr>
        <i val="true"/>
        <sz val="9"/>
        <color rgb="FF595959"/>
        <rFont val="Malgun Gothic"/>
        <family val="0"/>
        <charset val="1"/>
      </rPr>
      <t xml:space="preserve">·  </t>
    </r>
    <r>
      <rPr>
        <i val="true"/>
        <sz val="9"/>
        <color rgb="FF595959"/>
        <rFont val="Noto Sans CJK SC"/>
        <family val="2"/>
      </rPr>
      <t xml:space="preserve">우선순위</t>
    </r>
    <r>
      <rPr>
        <i val="true"/>
        <sz val="9"/>
        <color rgb="FF595959"/>
        <rFont val="Malgun Gothic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상 </t>
    </r>
    <r>
      <rPr>
        <i val="true"/>
        <sz val="9"/>
        <color rgb="FF595959"/>
        <rFont val="Malgun Gothic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중 </t>
    </r>
    <r>
      <rPr>
        <i val="true"/>
        <sz val="9"/>
        <color rgb="FF595959"/>
        <rFont val="Malgun Gothic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하</t>
    </r>
  </si>
  <si>
    <r>
      <rPr>
        <b val="true"/>
        <sz val="10"/>
        <color rgb="FFFFFFFF"/>
        <rFont val="Noto Sans CJK SC"/>
        <family val="2"/>
      </rPr>
      <t xml:space="preserve">기능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</si>
  <si>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기능명</t>
  </si>
  <si>
    <t xml:space="preserve">기능 설명</t>
  </si>
  <si>
    <r>
      <rPr>
        <b val="true"/>
        <sz val="10"/>
        <color rgb="FFFFFFFF"/>
        <rFont val="Noto Sans CJK SC"/>
        <family val="2"/>
      </rPr>
      <t xml:space="preserve">입력</t>
    </r>
    <r>
      <rPr>
        <b val="true"/>
        <sz val="10"/>
        <color rgb="FFFFFFFF"/>
        <rFont val="Malgun Gothic"/>
        <family val="0"/>
        <charset val="1"/>
      </rPr>
      <t xml:space="preserve">(Input)</t>
    </r>
  </si>
  <si>
    <r>
      <rPr>
        <b val="true"/>
        <sz val="10"/>
        <color rgb="FFFFFFFF"/>
        <rFont val="Noto Sans CJK SC"/>
        <family val="2"/>
      </rPr>
      <t xml:space="preserve">처리</t>
    </r>
    <r>
      <rPr>
        <b val="true"/>
        <sz val="10"/>
        <color rgb="FFFFFFFF"/>
        <rFont val="Malgun Gothic"/>
        <family val="0"/>
        <charset val="1"/>
      </rPr>
      <t xml:space="preserve">(Process)</t>
    </r>
  </si>
  <si>
    <r>
      <rPr>
        <b val="true"/>
        <sz val="10"/>
        <color rgb="FFFFFFFF"/>
        <rFont val="Noto Sans CJK SC"/>
        <family val="2"/>
      </rPr>
      <t xml:space="preserve">출력</t>
    </r>
    <r>
      <rPr>
        <b val="true"/>
        <sz val="10"/>
        <color rgb="FFFFFFFF"/>
        <rFont val="Malgun Gothic"/>
        <family val="0"/>
        <charset val="1"/>
      </rPr>
      <t xml:space="preserve">(Output)</t>
    </r>
  </si>
  <si>
    <r>
      <rPr>
        <b val="true"/>
        <sz val="10"/>
        <color rgb="FFFFFFFF"/>
        <rFont val="Noto Sans CJK SC"/>
        <family val="2"/>
      </rPr>
      <t xml:space="preserve">관련 화면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</si>
  <si>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관련 요구사항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</si>
  <si>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우선순위</t>
  </si>
  <si>
    <t xml:space="preserve">FN-CMN-001</t>
  </si>
  <si>
    <t xml:space="preserve">게스트 모드 진입</t>
  </si>
  <si>
    <r>
      <rPr>
        <sz val="9"/>
        <rFont val="Noto Sans CJK SC"/>
        <family val="2"/>
      </rPr>
      <t xml:space="preserve">로그인 없이 로컬 저장만으로 앱을 즉시 사용한다</t>
    </r>
    <r>
      <rPr>
        <sz val="9"/>
        <rFont val="Malgun Gothic"/>
        <family val="0"/>
        <charset val="1"/>
      </rPr>
      <t xml:space="preserve">.</t>
    </r>
  </si>
  <si>
    <t xml:space="preserve">앱 실행</t>
  </si>
  <si>
    <r>
      <rPr>
        <sz val="9"/>
        <rFont val="Noto Sans CJK SC"/>
        <family val="2"/>
      </rPr>
      <t xml:space="preserve">로컬 사용자 레코드 생성</t>
    </r>
    <r>
      <rPr>
        <sz val="9"/>
        <rFont val="Malgun Gothic"/>
        <family val="0"/>
        <charset val="1"/>
      </rPr>
      <t xml:space="preserve">(guest </t>
    </r>
    <r>
      <rPr>
        <sz val="9"/>
        <rFont val="Noto Sans CJK SC"/>
        <family val="2"/>
      </rPr>
      <t xml:space="preserve">플래그</t>
    </r>
    <r>
      <rPr>
        <sz val="9"/>
        <rFont val="Malgun Gothic"/>
        <family val="0"/>
        <charset val="1"/>
      </rPr>
      <t xml:space="preserve">)</t>
    </r>
  </si>
  <si>
    <t xml:space="preserve">홈 화면 진입</t>
  </si>
  <si>
    <t xml:space="preserve">SCR-CMN-001</t>
  </si>
  <si>
    <t xml:space="preserve">FN-CMN-002</t>
  </si>
  <si>
    <t xml:space="preserve">소셜 로그인</t>
  </si>
  <si>
    <r>
      <rPr>
        <sz val="9"/>
        <rFont val="Malgun Gothic"/>
        <family val="0"/>
        <charset val="1"/>
      </rPr>
      <t xml:space="preserve">Google/Kakao OAuth</t>
    </r>
    <r>
      <rPr>
        <sz val="9"/>
        <rFont val="Noto Sans CJK SC"/>
        <family val="2"/>
      </rPr>
      <t xml:space="preserve">로 인증하고 서버 계정과 연결한다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</si>
  <si>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OAuth </t>
    </r>
    <r>
      <rPr>
        <sz val="9"/>
        <rFont val="Noto Sans CJK SC"/>
        <family val="2"/>
      </rPr>
      <t xml:space="preserve">인증 결과</t>
    </r>
  </si>
  <si>
    <r>
      <rPr>
        <sz val="9"/>
        <rFont val="Malgun Gothic"/>
        <family val="0"/>
        <charset val="1"/>
      </rPr>
      <t xml:space="preserve">ID </t>
    </r>
    <r>
      <rPr>
        <sz val="9"/>
        <rFont val="Noto Sans CJK SC"/>
        <family val="2"/>
      </rPr>
      <t xml:space="preserve">토큰 검증 → 서버 계정 조회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생성 → </t>
    </r>
    <r>
      <rPr>
        <sz val="9"/>
        <rFont val="Malgun Gothic"/>
        <family val="0"/>
        <charset val="1"/>
      </rPr>
      <t xml:space="preserve">JWT </t>
    </r>
    <r>
      <rPr>
        <sz val="9"/>
        <rFont val="Noto Sans CJK SC"/>
        <family val="2"/>
      </rPr>
      <t xml:space="preserve">발급</t>
    </r>
  </si>
  <si>
    <r>
      <rPr>
        <sz val="9"/>
        <rFont val="Noto Sans CJK SC"/>
        <family val="2"/>
      </rPr>
      <t xml:space="preserve">로그인 완료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토큰 저장</t>
    </r>
  </si>
  <si>
    <t xml:space="preserve">SCR-CMN-002</t>
  </si>
  <si>
    <t xml:space="preserve">FN-CMN-003</t>
  </si>
  <si>
    <t xml:space="preserve">게스트 데이터 승계</t>
  </si>
  <si>
    <r>
      <rPr>
        <sz val="9"/>
        <rFont val="Noto Sans CJK SC"/>
        <family val="2"/>
      </rPr>
      <t xml:space="preserve">게스트로 쌓은 로컬 데이터를 로그인 계정에 귀속시킨다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</si>
  <si>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게스트 로컬 데이터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신규 계정 </t>
    </r>
    <r>
      <rPr>
        <sz val="9"/>
        <rFont val="Malgun Gothic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</si>
  <si>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로컬 데이터 </t>
    </r>
    <r>
      <rPr>
        <sz val="9"/>
        <rFont val="Malgun Gothic"/>
        <family val="0"/>
        <charset val="1"/>
      </rPr>
      <t xml:space="preserve">user_id </t>
    </r>
    <r>
      <rPr>
        <sz val="9"/>
        <rFont val="Noto Sans CJK SC"/>
        <family val="2"/>
      </rPr>
      <t xml:space="preserve">일괄 갱신 후 서버 업로드</t>
    </r>
  </si>
  <si>
    <t xml:space="preserve">승계 결과 건수 표시</t>
  </si>
  <si>
    <t xml:space="preserve">FN-CMN-004</t>
  </si>
  <si>
    <t xml:space="preserve">로그아웃 및 토큰 갱신</t>
  </si>
  <si>
    <r>
      <rPr>
        <sz val="9"/>
        <rFont val="Noto Sans CJK SC"/>
        <family val="2"/>
      </rPr>
      <t xml:space="preserve">토큰 만료 시 자동 갱신하고 로그아웃 시 인증정보를 폐기한다</t>
    </r>
    <r>
      <rPr>
        <sz val="9"/>
        <rFont val="Malgun Gothic"/>
        <family val="0"/>
        <charset val="1"/>
      </rPr>
      <t xml:space="preserve">.</t>
    </r>
  </si>
  <si>
    <t xml:space="preserve">Refresh Token</t>
  </si>
  <si>
    <r>
      <rPr>
        <sz val="9"/>
        <rFont val="Noto Sans CJK SC"/>
        <family val="2"/>
      </rPr>
      <t xml:space="preserve">토큰 재발급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로컬 토큰 삭제</t>
    </r>
  </si>
  <si>
    <t xml:space="preserve">세션 유지 또는 종료</t>
  </si>
  <si>
    <t xml:space="preserve">SCR-CMN-003</t>
  </si>
  <si>
    <t xml:space="preserve">FN-CMN-005</t>
  </si>
  <si>
    <t xml:space="preserve">프로필 등록</t>
  </si>
  <si>
    <r>
      <rPr>
        <sz val="9"/>
        <rFont val="Noto Sans CJK SC"/>
        <family val="2"/>
      </rPr>
      <t xml:space="preserve">성별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생년월일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키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운동경력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목표를 등록한다</t>
    </r>
    <r>
      <rPr>
        <sz val="9"/>
        <rFont val="Malgun Gothic"/>
        <family val="0"/>
        <charset val="1"/>
      </rPr>
      <t xml:space="preserve">.</t>
    </r>
  </si>
  <si>
    <t xml:space="preserve">프로필 입력값</t>
  </si>
  <si>
    <r>
      <rPr>
        <sz val="9"/>
        <rFont val="Noto Sans CJK SC"/>
        <family val="2"/>
      </rPr>
      <t xml:space="preserve">유효성 검증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키 </t>
    </r>
    <r>
      <rPr>
        <sz val="9"/>
        <rFont val="Malgun Gothic"/>
        <family val="0"/>
        <charset val="1"/>
      </rPr>
      <t xml:space="preserve">100~250cm </t>
    </r>
    <r>
      <rPr>
        <sz val="9"/>
        <rFont val="Noto Sans CJK SC"/>
        <family val="2"/>
      </rPr>
      <t xml:space="preserve">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후 저장</t>
    </r>
  </si>
  <si>
    <t xml:space="preserve">프로필 저장 완료</t>
  </si>
  <si>
    <t xml:space="preserve">SCR-CMN-004</t>
  </si>
  <si>
    <t xml:space="preserve">FN-CMN-006</t>
  </si>
  <si>
    <r>
      <rPr>
        <sz val="9"/>
        <rFont val="Noto Sans CJK SC"/>
        <family val="2"/>
      </rPr>
      <t xml:space="preserve">프로필 조회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수정</t>
    </r>
  </si>
  <si>
    <r>
      <rPr>
        <sz val="9"/>
        <rFont val="Noto Sans CJK SC"/>
        <family val="2"/>
      </rPr>
      <t xml:space="preserve">등록된 프로필을 조회하고 수정한다</t>
    </r>
    <r>
      <rPr>
        <sz val="9"/>
        <rFont val="Malgun Gothic"/>
        <family val="0"/>
        <charset val="1"/>
      </rPr>
      <t xml:space="preserve">.</t>
    </r>
  </si>
  <si>
    <t xml:space="preserve">수정 항목</t>
  </si>
  <si>
    <t xml:space="preserve">변경 이력 없이 최신값 갱신</t>
  </si>
  <si>
    <t xml:space="preserve">갱신된 프로필</t>
  </si>
  <si>
    <t xml:space="preserve">FN-CMN-007</t>
  </si>
  <si>
    <t xml:space="preserve">연령 자동 산출</t>
  </si>
  <si>
    <r>
      <rPr>
        <sz val="9"/>
        <rFont val="Noto Sans CJK SC"/>
        <family val="2"/>
      </rPr>
      <t xml:space="preserve">생년월일로 만 나이를 산출하여 분석 기준에 활용한다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</si>
  <si>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생년월일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기준일</t>
    </r>
  </si>
  <si>
    <t xml:space="preserve">만 나이 계산</t>
  </si>
  <si>
    <r>
      <rPr>
        <sz val="9"/>
        <rFont val="Noto Sans CJK SC"/>
        <family val="2"/>
      </rPr>
      <t xml:space="preserve">연령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세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</si>
  <si>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길이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거리 단위를 선택하고 전 화면에 일괄 적용한다</t>
    </r>
    <r>
      <rPr>
        <sz val="9"/>
        <rFont val="Malgun Gothic"/>
        <family val="0"/>
        <charset val="1"/>
      </rPr>
      <t xml:space="preserve">.</t>
    </r>
  </si>
  <si>
    <t xml:space="preserve">단위 선택값</t>
  </si>
  <si>
    <r>
      <rPr>
        <sz val="9"/>
        <rFont val="Noto Sans CJK SC"/>
        <family val="2"/>
      </rPr>
      <t xml:space="preserve">설정 저장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표시 계층에서 변환 적용</t>
    </r>
  </si>
  <si>
    <t xml:space="preserve">변환된 표시값</t>
  </si>
  <si>
    <t xml:space="preserve">SCR-CMN-005</t>
  </si>
  <si>
    <t xml:space="preserve">온보딩 위저드</t>
  </si>
  <si>
    <r>
      <rPr>
        <sz val="9"/>
        <rFont val="Noto Sans CJK SC"/>
        <family val="2"/>
      </rPr>
      <t xml:space="preserve">최초 실행 시 필수 설정을 단계별로 입력받는다</t>
    </r>
    <r>
      <rPr>
        <sz val="9"/>
        <rFont val="Malgun Gothic"/>
        <family val="0"/>
        <charset val="1"/>
      </rPr>
      <t xml:space="preserve">.</t>
    </r>
  </si>
  <si>
    <t xml:space="preserve">단계별 입력값</t>
  </si>
  <si>
    <r>
      <rPr>
        <sz val="9"/>
        <rFont val="Noto Sans CJK SC"/>
        <family val="2"/>
      </rPr>
      <t xml:space="preserve">단계 검증 후 프로필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설정 일괄 저장</t>
    </r>
  </si>
  <si>
    <t xml:space="preserve">온보딩 완료 플래그</t>
  </si>
  <si>
    <t xml:space="preserve">SCR-CMN-006</t>
  </si>
  <si>
    <t xml:space="preserve">테마 설정</t>
  </si>
  <si>
    <r>
      <rPr>
        <sz val="9"/>
        <rFont val="Noto Sans CJK SC"/>
        <family val="2"/>
      </rPr>
      <t xml:space="preserve">라이트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다크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시스템 연동 테마를 전환한다</t>
    </r>
    <r>
      <rPr>
        <sz val="9"/>
        <rFont val="Malgun Gothic"/>
        <family val="0"/>
        <charset val="1"/>
      </rPr>
      <t xml:space="preserve">.</t>
    </r>
  </si>
  <si>
    <t xml:space="preserve">테마 선택값</t>
  </si>
  <si>
    <t xml:space="preserve">설정 저장 후 즉시 재구성</t>
  </si>
  <si>
    <t xml:space="preserve">테마 적용 화면</t>
  </si>
  <si>
    <t xml:space="preserve">언어 설정</t>
  </si>
  <si>
    <r>
      <rPr>
        <sz val="9"/>
        <rFont val="Noto Sans CJK SC"/>
        <family val="2"/>
      </rPr>
      <t xml:space="preserve">앱 표시 언어를 전환한다</t>
    </r>
    <r>
      <rPr>
        <sz val="9"/>
        <rFont val="Malgun Gothic"/>
        <family val="0"/>
        <charset val="1"/>
      </rPr>
      <t xml:space="preserve">.</t>
    </r>
  </si>
  <si>
    <t xml:space="preserve">언어 선택값</t>
  </si>
  <si>
    <r>
      <rPr>
        <sz val="9"/>
        <rFont val="Malgun Gothic"/>
        <family val="0"/>
        <charset val="1"/>
      </rPr>
      <t xml:space="preserve">Locale </t>
    </r>
    <r>
      <rPr>
        <sz val="9"/>
        <rFont val="Noto Sans CJK SC"/>
        <family val="2"/>
      </rPr>
      <t xml:space="preserve">변경 및 리소스 재로드</t>
    </r>
  </si>
  <si>
    <t xml:space="preserve">언어 적용 화면</t>
  </si>
  <si>
    <r>
      <rPr>
        <sz val="9"/>
        <rFont val="Noto Sans CJK SC"/>
        <family val="2"/>
      </rPr>
      <t xml:space="preserve">기본 종목 </t>
    </r>
    <r>
      <rPr>
        <sz val="9"/>
        <rFont val="Malgun Gothic"/>
        <family val="0"/>
        <charset val="1"/>
      </rPr>
      <t xml:space="preserve">DB </t>
    </r>
    <r>
      <rPr>
        <sz val="9"/>
        <rFont val="Noto Sans CJK SC"/>
        <family val="2"/>
      </rPr>
      <t xml:space="preserve">초기 적재</t>
    </r>
  </si>
  <si>
    <r>
      <rPr>
        <sz val="9"/>
        <rFont val="Noto Sans CJK SC"/>
        <family val="2"/>
      </rPr>
      <t xml:space="preserve">앱 최초 실행 시 내장 종목 마스터 </t>
    </r>
    <r>
      <rPr>
        <sz val="9"/>
        <rFont val="Malgun Gothic"/>
        <family val="0"/>
        <charset val="1"/>
      </rPr>
      <t xml:space="preserve">300</t>
    </r>
    <r>
      <rPr>
        <sz val="9"/>
        <rFont val="Noto Sans CJK SC"/>
        <family val="2"/>
      </rPr>
      <t xml:space="preserve">종 이상을 로컬 </t>
    </r>
    <r>
      <rPr>
        <sz val="9"/>
        <rFont val="Malgun Gothic"/>
        <family val="0"/>
        <charset val="1"/>
      </rPr>
      <t xml:space="preserve">DB</t>
    </r>
    <r>
      <rPr>
        <sz val="9"/>
        <rFont val="Noto Sans CJK SC"/>
        <family val="2"/>
      </rPr>
      <t xml:space="preserve">에 적재한다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</si>
  <si>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내장 </t>
    </r>
    <r>
      <rPr>
        <sz val="9"/>
        <rFont val="Malgun Gothic"/>
        <family val="0"/>
        <charset val="1"/>
      </rPr>
      <t xml:space="preserve">asset(JSON/prepackaged DB)</t>
    </r>
  </si>
  <si>
    <r>
      <rPr>
        <sz val="9"/>
        <rFont val="Malgun Gothic"/>
        <family val="0"/>
        <charset val="1"/>
      </rPr>
      <t xml:space="preserve">Room prepopulate </t>
    </r>
    <r>
      <rPr>
        <sz val="9"/>
        <rFont val="Noto Sans CJK SC"/>
        <family val="2"/>
      </rPr>
      <t xml:space="preserve">또는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회성 마이그레이션 실행</t>
    </r>
  </si>
  <si>
    <t xml:space="preserve">종목 마스터 적재 완료</t>
  </si>
  <si>
    <t xml:space="preserve">-</t>
  </si>
  <si>
    <t xml:space="preserve">종목 분류 정보 관리</t>
  </si>
  <si>
    <r>
      <rPr>
        <sz val="9"/>
        <rFont val="Noto Sans CJK SC"/>
        <family val="2"/>
      </rPr>
      <t xml:space="preserve">주동근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보조근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장비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운동유형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동작성격 속성을 관리한다</t>
    </r>
    <r>
      <rPr>
        <sz val="9"/>
        <rFont val="Malgun Gothic"/>
        <family val="0"/>
        <charset val="1"/>
      </rPr>
      <t xml:space="preserve">.</t>
    </r>
  </si>
  <si>
    <t xml:space="preserve">종목 속성값</t>
  </si>
  <si>
    <t xml:space="preserve">분류 코드 매핑 및 검증</t>
  </si>
  <si>
    <t xml:space="preserve">분류 정보 저장</t>
  </si>
  <si>
    <t xml:space="preserve">SCR-EXR-003</t>
  </si>
  <si>
    <t xml:space="preserve">FN-EXR-003</t>
  </si>
  <si>
    <t xml:space="preserve">종목 상세 조회</t>
  </si>
  <si>
    <r>
      <rPr>
        <sz val="9"/>
        <rFont val="Noto Sans CJK SC"/>
        <family val="2"/>
      </rPr>
      <t xml:space="preserve">종목의 수행방법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주의사항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주동근 정보를 조회한다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</si>
  <si>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</t>
    </r>
  </si>
  <si>
    <t xml:space="preserve">종목 마스터 및 부가정보 조회</t>
  </si>
  <si>
    <t xml:space="preserve">종목 상세 화면</t>
  </si>
  <si>
    <t xml:space="preserve">SCR-EXR-002</t>
  </si>
  <si>
    <t xml:space="preserve">FN-EXR-004</t>
  </si>
  <si>
    <t xml:space="preserve">참고 영상 링크 관리</t>
  </si>
  <si>
    <r>
      <rPr>
        <sz val="9"/>
        <rFont val="Noto Sans CJK SC"/>
        <family val="2"/>
      </rPr>
      <t xml:space="preserve">종목별 참고 영상 </t>
    </r>
    <r>
      <rPr>
        <sz val="9"/>
        <rFont val="Malgun Gothic"/>
        <family val="0"/>
        <charset val="1"/>
      </rPr>
      <t xml:space="preserve">URL</t>
    </r>
    <r>
      <rPr>
        <sz val="9"/>
        <rFont val="Noto Sans CJK SC"/>
        <family val="2"/>
      </rPr>
      <t xml:space="preserve">을 등록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삭제하고 외부 앱으로 재생한다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</si>
  <si>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URL, </t>
    </r>
    <r>
      <rPr>
        <sz val="9"/>
        <rFont val="Noto Sans CJK SC"/>
        <family val="2"/>
      </rPr>
      <t xml:space="preserve">설명</t>
    </r>
  </si>
  <si>
    <r>
      <rPr>
        <sz val="9"/>
        <rFont val="Malgun Gothic"/>
        <family val="0"/>
        <charset val="1"/>
      </rPr>
      <t xml:space="preserve">URL </t>
    </r>
    <r>
      <rPr>
        <sz val="9"/>
        <rFont val="Noto Sans CJK SC"/>
        <family val="2"/>
      </rPr>
      <t xml:space="preserve">형식 검증 후 저장</t>
    </r>
  </si>
  <si>
    <r>
      <rPr>
        <sz val="9"/>
        <rFont val="Noto Sans CJK SC"/>
        <family val="2"/>
      </rPr>
      <t xml:space="preserve">링크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외부 브라우저 실행</t>
    </r>
  </si>
  <si>
    <t xml:space="preserve">FN-EXR-005</t>
  </si>
  <si>
    <t xml:space="preserve">사용자 종목 등록</t>
  </si>
  <si>
    <r>
      <rPr>
        <sz val="9"/>
        <rFont val="Noto Sans CJK SC"/>
        <family val="2"/>
      </rPr>
      <t xml:space="preserve">신규 종목명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분류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기록유형을 입력해 등록한다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</si>
  <si>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분류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기록유형</t>
    </r>
  </si>
  <si>
    <r>
      <rPr>
        <sz val="9"/>
        <rFont val="Noto Sans CJK SC"/>
        <family val="2"/>
      </rPr>
      <t xml:space="preserve">중복명 검사 후 저장</t>
    </r>
    <r>
      <rPr>
        <sz val="9"/>
        <rFont val="Malgun Gothic"/>
        <family val="0"/>
        <charset val="1"/>
      </rPr>
      <t xml:space="preserve">(user_defined=true)</t>
    </r>
  </si>
  <si>
    <t xml:space="preserve">등록된 종목</t>
  </si>
  <si>
    <t xml:space="preserve">FN-EXR-006</t>
  </si>
  <si>
    <t xml:space="preserve">사용자 종목 수정</t>
  </si>
  <si>
    <r>
      <rPr>
        <sz val="9"/>
        <rFont val="Noto Sans CJK SC"/>
        <family val="2"/>
      </rPr>
      <t xml:space="preserve">사용자 등록 종목의 정보를 수정한다</t>
    </r>
    <r>
      <rPr>
        <sz val="9"/>
        <rFont val="Malgun Gothic"/>
        <family val="0"/>
        <charset val="1"/>
      </rPr>
      <t xml:space="preserve">.</t>
    </r>
  </si>
  <si>
    <t xml:space="preserve">기록 존재 여부 확인 후 갱신</t>
  </si>
  <si>
    <t xml:space="preserve">수정 결과</t>
  </si>
  <si>
    <t xml:space="preserve">FN-EXR-007</t>
  </si>
  <si>
    <r>
      <rPr>
        <sz val="9"/>
        <rFont val="Noto Sans CJK SC"/>
        <family val="2"/>
      </rPr>
      <t xml:space="preserve">종목 삭제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숨김</t>
    </r>
  </si>
  <si>
    <r>
      <rPr>
        <sz val="9"/>
        <rFont val="Noto Sans CJK SC"/>
        <family val="2"/>
      </rPr>
      <t xml:space="preserve">종목을 삭제하거나 목록에서 숨긴다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</si>
  <si>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기록 존재 시 논리삭제</t>
    </r>
    <r>
      <rPr>
        <sz val="9"/>
        <rFont val="Malgun Gothic"/>
        <family val="0"/>
        <charset val="1"/>
      </rPr>
      <t xml:space="preserve">(is_active=false), </t>
    </r>
    <r>
      <rPr>
        <sz val="9"/>
        <rFont val="Noto Sans CJK SC"/>
        <family val="2"/>
      </rPr>
      <t xml:space="preserve">미존재 시 물리삭제</t>
    </r>
  </si>
  <si>
    <t xml:space="preserve">목록 갱신</t>
  </si>
  <si>
    <t xml:space="preserve">FN-EXR-008</t>
  </si>
  <si>
    <t xml:space="preserve">종목명 검색</t>
  </si>
  <si>
    <r>
      <rPr>
        <sz val="9"/>
        <rFont val="Noto Sans CJK SC"/>
        <family val="2"/>
      </rPr>
      <t xml:space="preserve">한글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영문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초성으로 종목을 부분 일치 검색한다</t>
    </r>
    <r>
      <rPr>
        <sz val="9"/>
        <rFont val="Malgun Gothic"/>
        <family val="0"/>
        <charset val="1"/>
      </rPr>
      <t xml:space="preserve">.</t>
    </r>
  </si>
  <si>
    <t xml:space="preserve">검색어</t>
  </si>
  <si>
    <r>
      <rPr>
        <sz val="9"/>
        <rFont val="Noto Sans CJK SC"/>
        <family val="2"/>
      </rPr>
      <t xml:space="preserve">초성 인덱스 포함 </t>
    </r>
    <r>
      <rPr>
        <sz val="9"/>
        <rFont val="Malgun Gothic"/>
        <family val="0"/>
        <charset val="1"/>
      </rPr>
      <t xml:space="preserve">LIKE </t>
    </r>
    <r>
      <rPr>
        <sz val="9"/>
        <rFont val="Noto Sans CJK SC"/>
        <family val="2"/>
      </rPr>
      <t xml:space="preserve">조회</t>
    </r>
    <r>
      <rPr>
        <sz val="9"/>
        <rFont val="Malgun Gothic"/>
        <family val="0"/>
        <charset val="1"/>
      </rPr>
      <t xml:space="preserve">, 300ms </t>
    </r>
    <r>
      <rPr>
        <sz val="9"/>
        <rFont val="Noto Sans CJK SC"/>
        <family val="2"/>
      </rPr>
      <t xml:space="preserve">내 응답</t>
    </r>
  </si>
  <si>
    <t xml:space="preserve">검색 결과 목록</t>
  </si>
  <si>
    <t xml:space="preserve">SCR-EXR-001</t>
  </si>
  <si>
    <t xml:space="preserve">FN-EXR-009</t>
  </si>
  <si>
    <t xml:space="preserve">종목 필터</t>
  </si>
  <si>
    <r>
      <rPr>
        <sz val="9"/>
        <rFont val="Noto Sans CJK SC"/>
        <family val="2"/>
      </rPr>
      <t xml:space="preserve">부위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장비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유형 조건으로 목록을 필터링한다</t>
    </r>
    <r>
      <rPr>
        <sz val="9"/>
        <rFont val="Malgun Gothic"/>
        <family val="0"/>
        <charset val="1"/>
      </rPr>
      <t xml:space="preserve">.</t>
    </r>
  </si>
  <si>
    <t xml:space="preserve">필터 조건</t>
  </si>
  <si>
    <r>
      <rPr>
        <sz val="9"/>
        <rFont val="Noto Sans CJK SC"/>
        <family val="2"/>
      </rPr>
      <t xml:space="preserve">다중 조건 </t>
    </r>
    <r>
      <rPr>
        <sz val="9"/>
        <rFont val="Malgun Gothic"/>
        <family val="0"/>
        <charset val="1"/>
      </rPr>
      <t xml:space="preserve">AND </t>
    </r>
    <r>
      <rPr>
        <sz val="9"/>
        <rFont val="Noto Sans CJK SC"/>
        <family val="2"/>
      </rPr>
      <t xml:space="preserve">조회</t>
    </r>
  </si>
  <si>
    <t xml:space="preserve">필터된 목록</t>
  </si>
  <si>
    <t xml:space="preserve">FN-EXR-010</t>
  </si>
  <si>
    <t xml:space="preserve">종목 즐겨찾기</t>
  </si>
  <si>
    <r>
      <rPr>
        <sz val="9"/>
        <rFont val="Noto Sans CJK SC"/>
        <family val="2"/>
      </rPr>
      <t xml:space="preserve">자주 쓰는 종목을 즐겨찾기로 등록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해제한다</t>
    </r>
    <r>
      <rPr>
        <sz val="9"/>
        <rFont val="Malgun Gothic"/>
        <family val="0"/>
        <charset val="1"/>
      </rPr>
      <t xml:space="preserve">.</t>
    </r>
  </si>
  <si>
    <t xml:space="preserve">즐겨찾기 플래그 토글</t>
  </si>
  <si>
    <t xml:space="preserve">즐겨찾기 목록</t>
  </si>
  <si>
    <t xml:space="preserve">FN-EXR-011</t>
  </si>
  <si>
    <t xml:space="preserve">최근 사용 종목 제공</t>
  </si>
  <si>
    <r>
      <rPr>
        <sz val="9"/>
        <rFont val="Noto Sans CJK SC"/>
        <family val="2"/>
      </rPr>
      <t xml:space="preserve">최근 수행한 종목 </t>
    </r>
    <r>
      <rPr>
        <sz val="9"/>
        <rFont val="Malgun Gothic"/>
        <family val="0"/>
        <charset val="1"/>
      </rPr>
      <t xml:space="preserve">20</t>
    </r>
    <r>
      <rPr>
        <sz val="9"/>
        <rFont val="Noto Sans CJK SC"/>
        <family val="2"/>
      </rPr>
      <t xml:space="preserve">건을 최신순으로 제공한다</t>
    </r>
    <r>
      <rPr>
        <sz val="9"/>
        <rFont val="Malgun Gothic"/>
        <family val="0"/>
        <charset val="1"/>
      </rPr>
      <t xml:space="preserve">.</t>
    </r>
  </si>
  <si>
    <t xml:space="preserve">기록 테이블에서 종목별 최근 수행일 조회</t>
  </si>
  <si>
    <t xml:space="preserve">최근 사용 목록</t>
  </si>
  <si>
    <t xml:space="preserve">기록 유형별 입력 필드 결정</t>
  </si>
  <si>
    <r>
      <rPr>
        <sz val="9"/>
        <rFont val="Noto Sans CJK SC"/>
        <family val="2"/>
      </rPr>
      <t xml:space="preserve">종목의 기록유형에 따라 표시할 입력 필드 세트를 결정한다</t>
    </r>
    <r>
      <rPr>
        <sz val="9"/>
        <rFont val="Malgun Gothic"/>
        <family val="0"/>
        <charset val="1"/>
      </rPr>
      <t xml:space="preserve">.</t>
    </r>
  </si>
  <si>
    <t xml:space="preserve">종목 기록유형 코드</t>
  </si>
  <si>
    <r>
      <rPr>
        <sz val="9"/>
        <rFont val="Noto Sans CJK SC"/>
        <family val="2"/>
      </rPr>
      <t xml:space="preserve">유형별 필드 스펙 매핑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횟수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횟수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시간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거리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시간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+</t>
    </r>
    <r>
      <rPr>
        <sz val="9"/>
        <rFont val="Noto Sans CJK SC"/>
        <family val="2"/>
      </rPr>
      <t xml:space="preserve">시간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</si>
  <si>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입력 </t>
    </r>
    <r>
      <rPr>
        <sz val="9"/>
        <rFont val="Malgun Gothic"/>
        <family val="0"/>
        <charset val="1"/>
      </rPr>
      <t xml:space="preserve">UI </t>
    </r>
    <r>
      <rPr>
        <sz val="9"/>
        <rFont val="Noto Sans CJK SC"/>
        <family val="2"/>
      </rPr>
      <t xml:space="preserve">구성 정보</t>
    </r>
  </si>
  <si>
    <t xml:space="preserve">SCR-WRK-002</t>
  </si>
  <si>
    <t xml:space="preserve">FN-EXR-013</t>
  </si>
  <si>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노트 등록</t>
    </r>
  </si>
  <si>
    <r>
      <rPr>
        <sz val="9"/>
        <rFont val="Malgun Gothic"/>
        <family val="0"/>
        <charset val="1"/>
      </rPr>
      <t xml:space="preserve">PT</t>
    </r>
    <r>
      <rPr>
        <sz val="9"/>
        <rFont val="Noto Sans CJK SC"/>
        <family val="2"/>
      </rPr>
      <t xml:space="preserve">에서 배운 자세 큐잉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주의점을 종목별로 등록한다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</si>
  <si>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노트 내용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트레이너명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작성일</t>
    </r>
  </si>
  <si>
    <t xml:space="preserve">노트 레코드 생성</t>
  </si>
  <si>
    <t xml:space="preserve">노트 목록</t>
  </si>
  <si>
    <t xml:space="preserve">SCR-EXR-004</t>
  </si>
  <si>
    <t xml:space="preserve">FN-EXR-014</t>
  </si>
  <si>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노트 조회</t>
    </r>
  </si>
  <si>
    <r>
      <rPr>
        <sz val="9"/>
        <rFont val="Noto Sans CJK SC"/>
        <family val="2"/>
      </rPr>
      <t xml:space="preserve">운동 수행 화면에서 해당 종목의 학습 노트를 즉시 열람한다</t>
    </r>
    <r>
      <rPr>
        <sz val="9"/>
        <rFont val="Malgun Gothic"/>
        <family val="0"/>
        <charset val="1"/>
      </rPr>
      <t xml:space="preserve">.</t>
    </r>
  </si>
  <si>
    <t xml:space="preserve">최신순 노트 조회</t>
  </si>
  <si>
    <t xml:space="preserve">노트 바텀시트</t>
  </si>
  <si>
    <t xml:space="preserve">FN-EXR-015</t>
  </si>
  <si>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노트 수정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삭제</t>
    </r>
  </si>
  <si>
    <r>
      <rPr>
        <sz val="9"/>
        <rFont val="Noto Sans CJK SC"/>
        <family val="2"/>
      </rPr>
      <t xml:space="preserve">등록한 학습 노트를 수정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</si>
  <si>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노트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수정 내용</t>
    </r>
  </si>
  <si>
    <t xml:space="preserve">갱신 또는 삭제</t>
  </si>
  <si>
    <t xml:space="preserve">노트 목록 갱신</t>
  </si>
  <si>
    <t xml:space="preserve">FN-WRK-001</t>
  </si>
  <si>
    <t xml:space="preserve">운동일지 생성</t>
  </si>
  <si>
    <r>
      <rPr>
        <sz val="9"/>
        <rFont val="Noto Sans CJK SC"/>
        <family val="2"/>
      </rPr>
      <t xml:space="preserve">선택한 일자에 신규 운동일지를 생성한다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</si>
  <si>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회차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</t>
    </r>
    <r>
      <rPr>
        <sz val="9"/>
        <rFont val="Malgun Gothic"/>
        <family val="0"/>
        <charset val="1"/>
      </rPr>
      <t xml:space="preserve">ID(</t>
    </r>
    <r>
      <rPr>
        <sz val="9"/>
        <rFont val="Noto Sans CJK SC"/>
        <family val="2"/>
      </rPr>
      <t xml:space="preserve">선택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</si>
  <si>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동일 일자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회차 중복 확인 후 일지 헤더 생성</t>
    </r>
  </si>
  <si>
    <t xml:space="preserve">일지 상세 화면</t>
  </si>
  <si>
    <t xml:space="preserve">SCR-WRK-001</t>
  </si>
  <si>
    <t xml:space="preserve">FN-WRK-002</t>
  </si>
  <si>
    <t xml:space="preserve">운동일지 조회</t>
  </si>
  <si>
    <r>
      <rPr>
        <sz val="9"/>
        <rFont val="Noto Sans CJK SC"/>
        <family val="2"/>
      </rPr>
      <t xml:space="preserve">특정 일자의 일지와 하위 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세트를 조회한다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</si>
  <si>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회차</t>
    </r>
  </si>
  <si>
    <r>
      <rPr>
        <sz val="9"/>
        <rFont val="Noto Sans CJK SC"/>
        <family val="2"/>
      </rPr>
      <t xml:space="preserve">일지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세트 계층 조회</t>
    </r>
  </si>
  <si>
    <t xml:space="preserve">FN-WRK-003</t>
  </si>
  <si>
    <t xml:space="preserve">운동일지 수정</t>
  </si>
  <si>
    <r>
      <rPr>
        <sz val="9"/>
        <rFont val="Noto Sans CJK SC"/>
        <family val="2"/>
      </rPr>
      <t xml:space="preserve">기록된 일지의 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메모를 수정한다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</si>
  <si>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변경 즉시 로컬 반영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요약 지표 재계산</t>
    </r>
  </si>
  <si>
    <t xml:space="preserve">갱신된 일지</t>
  </si>
  <si>
    <t xml:space="preserve">FN-WRK-004</t>
  </si>
  <si>
    <t xml:space="preserve">운동일지 삭제</t>
  </si>
  <si>
    <r>
      <rPr>
        <sz val="9"/>
        <rFont val="Noto Sans CJK SC"/>
        <family val="2"/>
      </rPr>
      <t xml:space="preserve">일지 전체를 삭제한다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</si>
  <si>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일지 </t>
    </r>
    <r>
      <rPr>
        <sz val="9"/>
        <rFont val="Malgun Gothic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</si>
  <si>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확인 후 하위 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 연쇄 삭제</t>
    </r>
    <r>
      <rPr>
        <sz val="9"/>
        <rFont val="Malgun Gothic"/>
        <family val="0"/>
        <charset val="1"/>
      </rPr>
      <t xml:space="preserve">(tombstone </t>
    </r>
    <r>
      <rPr>
        <sz val="9"/>
        <rFont val="Noto Sans CJK SC"/>
        <family val="2"/>
      </rPr>
      <t xml:space="preserve">기록</t>
    </r>
    <r>
      <rPr>
        <sz val="9"/>
        <rFont val="Malgun Gothic"/>
        <family val="0"/>
        <charset val="1"/>
      </rPr>
      <t xml:space="preserve">)</t>
    </r>
  </si>
  <si>
    <t xml:space="preserve">FN-WRK-005</t>
  </si>
  <si>
    <t xml:space="preserve">회차 추가</t>
  </si>
  <si>
    <r>
      <rPr>
        <sz val="9"/>
        <rFont val="Noto Sans CJK SC"/>
        <family val="2"/>
      </rPr>
      <t xml:space="preserve">같은 일자에 </t>
    </r>
    <r>
      <rPr>
        <sz val="9"/>
        <rFont val="Malgun Gothic"/>
        <family val="0"/>
        <charset val="1"/>
      </rPr>
      <t xml:space="preserve">2·3</t>
    </r>
    <r>
      <rPr>
        <sz val="9"/>
        <rFont val="Noto Sans CJK SC"/>
        <family val="2"/>
      </rPr>
      <t xml:space="preserve">회차 일지를 추가한다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</si>
  <si>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회차명</t>
    </r>
  </si>
  <si>
    <r>
      <rPr>
        <sz val="9"/>
        <rFont val="Noto Sans CJK SC"/>
        <family val="2"/>
      </rPr>
      <t xml:space="preserve">회차 최대 </t>
    </r>
    <r>
      <rPr>
        <sz val="9"/>
        <rFont val="Malgun Gothic"/>
        <family val="0"/>
        <charset val="1"/>
      </rPr>
      <t xml:space="preserve">3 </t>
    </r>
    <r>
      <rPr>
        <sz val="9"/>
        <rFont val="Noto Sans CJK SC"/>
        <family val="2"/>
      </rPr>
      <t xml:space="preserve">제한 검증 후 생성</t>
    </r>
  </si>
  <si>
    <t xml:space="preserve">회차 탭 추가</t>
  </si>
  <si>
    <t xml:space="preserve">FN-WRK-006</t>
  </si>
  <si>
    <t xml:space="preserve">회차 전환</t>
  </si>
  <si>
    <r>
      <rPr>
        <sz val="9"/>
        <rFont val="Noto Sans CJK SC"/>
        <family val="2"/>
      </rPr>
      <t xml:space="preserve">같은 일자의 회차 간 일지를 전환 조회한다</t>
    </r>
    <r>
      <rPr>
        <sz val="9"/>
        <rFont val="Malgun Gothic"/>
        <family val="0"/>
        <charset val="1"/>
      </rPr>
      <t xml:space="preserve">.</t>
    </r>
  </si>
  <si>
    <t xml:space="preserve">회차 선택</t>
  </si>
  <si>
    <t xml:space="preserve">선택 회차 일지 로드</t>
  </si>
  <si>
    <t xml:space="preserve">해당 회차 일지</t>
  </si>
  <si>
    <t xml:space="preserve">FN-WRK-007</t>
  </si>
  <si>
    <t xml:space="preserve">일지에 종목 추가</t>
  </si>
  <si>
    <r>
      <rPr>
        <sz val="9"/>
        <rFont val="Noto Sans CJK SC"/>
        <family val="2"/>
      </rPr>
      <t xml:space="preserve">종목 선택 화면에서 하나 이상의 종목을 일지에 추가한다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</si>
  <si>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 </t>
    </r>
    <r>
      <rPr>
        <sz val="9"/>
        <rFont val="Noto Sans CJK SC"/>
        <family val="2"/>
      </rPr>
      <t xml:space="preserve">목록</t>
    </r>
  </si>
  <si>
    <r>
      <rPr>
        <sz val="9"/>
        <rFont val="Noto Sans CJK SC"/>
        <family val="2"/>
      </rPr>
      <t xml:space="preserve">일지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 레코드 생성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순번 부여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프리필 수행</t>
    </r>
  </si>
  <si>
    <t xml:space="preserve">종목 카드 추가</t>
  </si>
  <si>
    <t xml:space="preserve">FN-WRK-008</t>
  </si>
  <si>
    <t xml:space="preserve">세트 추가</t>
  </si>
  <si>
    <r>
      <rPr>
        <sz val="9"/>
        <rFont val="Noto Sans CJK SC"/>
        <family val="2"/>
      </rPr>
      <t xml:space="preserve">종목에 신규 세트를 추가한다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</si>
  <si>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항목 </t>
    </r>
    <r>
      <rPr>
        <sz val="9"/>
        <rFont val="Malgun Gothic"/>
        <family val="0"/>
        <charset val="1"/>
      </rPr>
      <t xml:space="preserve">ID</t>
    </r>
  </si>
  <si>
    <t xml:space="preserve">직전 세트값 복사하여 세트 생성</t>
  </si>
  <si>
    <t xml:space="preserve">세트 행 추가</t>
  </si>
  <si>
    <t xml:space="preserve">FN-WRK-009</t>
  </si>
  <si>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 입력</t>
    </r>
  </si>
  <si>
    <r>
      <rPr>
        <sz val="9"/>
        <rFont val="Noto Sans CJK SC"/>
        <family val="2"/>
      </rPr>
      <t xml:space="preserve">세트의 중량과 횟수를 입력한다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</si>
  <si>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횟수</t>
    </r>
  </si>
  <si>
    <r>
      <rPr>
        <sz val="9"/>
        <rFont val="Noto Sans CJK SC"/>
        <family val="2"/>
      </rPr>
      <t xml:space="preserve">단위 변환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범위 검증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중량 </t>
    </r>
    <r>
      <rPr>
        <sz val="9"/>
        <rFont val="Malgun Gothic"/>
        <family val="0"/>
        <charset val="1"/>
      </rPr>
      <t xml:space="preserve">0~500kg, </t>
    </r>
    <r>
      <rPr>
        <sz val="9"/>
        <rFont val="Noto Sans CJK SC"/>
        <family val="2"/>
      </rPr>
      <t xml:space="preserve">횟수 </t>
    </r>
    <r>
      <rPr>
        <sz val="9"/>
        <rFont val="Malgun Gothic"/>
        <family val="0"/>
        <charset val="1"/>
      </rPr>
      <t xml:space="preserve">1~200) </t>
    </r>
    <r>
      <rPr>
        <sz val="9"/>
        <rFont val="Noto Sans CJK SC"/>
        <family val="2"/>
      </rPr>
      <t xml:space="preserve">후 즉시 저장</t>
    </r>
  </si>
  <si>
    <r>
      <rPr>
        <sz val="9"/>
        <rFont val="Noto Sans CJK SC"/>
        <family val="2"/>
      </rPr>
      <t xml:space="preserve">입력값 반영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 볼륨 갱신</t>
    </r>
  </si>
  <si>
    <t xml:space="preserve">FN-WRK-010</t>
  </si>
  <si>
    <t xml:space="preserve">증감 버튼 입력</t>
  </si>
  <si>
    <r>
      <rPr>
        <sz val="9"/>
        <rFont val="Malgun Gothic"/>
        <family val="0"/>
        <charset val="1"/>
      </rPr>
      <t xml:space="preserve">±</t>
    </r>
    <r>
      <rPr>
        <sz val="9"/>
        <rFont val="Noto Sans CJK SC"/>
        <family val="2"/>
      </rPr>
      <t xml:space="preserve">버튼으로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횟수를 단계 증감한다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</si>
  <si>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증감 단위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기본 중량 </t>
    </r>
    <r>
      <rPr>
        <sz val="9"/>
        <rFont val="Malgun Gothic"/>
        <family val="0"/>
        <charset val="1"/>
      </rPr>
      <t xml:space="preserve">2.5kg, </t>
    </r>
    <r>
      <rPr>
        <sz val="9"/>
        <rFont val="Noto Sans CJK SC"/>
        <family val="2"/>
      </rPr>
      <t xml:space="preserve">횟수 </t>
    </r>
    <r>
      <rPr>
        <sz val="9"/>
        <rFont val="Malgun Gothic"/>
        <family val="0"/>
        <charset val="1"/>
      </rPr>
      <t xml:space="preserve">1)</t>
    </r>
  </si>
  <si>
    <t xml:space="preserve">현재값에 증감 적용</t>
  </si>
  <si>
    <t xml:space="preserve">갱신된 입력값</t>
  </si>
  <si>
    <t xml:space="preserve">FN-WRK-011</t>
  </si>
  <si>
    <t xml:space="preserve">세트 타입 지정</t>
  </si>
  <si>
    <r>
      <rPr>
        <sz val="9"/>
        <rFont val="Noto Sans CJK SC"/>
        <family val="2"/>
      </rPr>
      <t xml:space="preserve">세트를 정상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웜업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드랍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실패로 지정한다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</si>
  <si>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타입</t>
    </r>
  </si>
  <si>
    <r>
      <rPr>
        <sz val="9"/>
        <rFont val="Noto Sans CJK SC"/>
        <family val="2"/>
      </rPr>
      <t xml:space="preserve">타입 저장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웜업은 집계 제외 플래그 설정</t>
    </r>
  </si>
  <si>
    <t xml:space="preserve">세트 타입 배지</t>
  </si>
  <si>
    <t xml:space="preserve">FN-WRK-012</t>
  </si>
  <si>
    <t xml:space="preserve">슈퍼세트 그룹 설정</t>
  </si>
  <si>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개 이상 종목을 슈퍼세트 그룹으로 묶는다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</si>
  <si>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항목 </t>
    </r>
    <r>
      <rPr>
        <sz val="9"/>
        <rFont val="Malgun Gothic"/>
        <family val="0"/>
        <charset val="1"/>
      </rPr>
      <t xml:space="preserve">ID </t>
    </r>
    <r>
      <rPr>
        <sz val="9"/>
        <rFont val="Noto Sans CJK SC"/>
        <family val="2"/>
      </rPr>
      <t xml:space="preserve">목록</t>
    </r>
  </si>
  <si>
    <r>
      <rPr>
        <sz val="9"/>
        <rFont val="Noto Sans CJK SC"/>
        <family val="2"/>
      </rPr>
      <t xml:space="preserve">동일 </t>
    </r>
    <r>
      <rPr>
        <sz val="9"/>
        <rFont val="Malgun Gothic"/>
        <family val="0"/>
        <charset val="1"/>
      </rPr>
      <t xml:space="preserve">group_no </t>
    </r>
    <r>
      <rPr>
        <sz val="9"/>
        <rFont val="Noto Sans CJK SC"/>
        <family val="2"/>
      </rPr>
      <t xml:space="preserve">부여</t>
    </r>
  </si>
  <si>
    <r>
      <rPr>
        <sz val="9"/>
        <rFont val="Noto Sans CJK SC"/>
        <family val="2"/>
      </rPr>
      <t xml:space="preserve">그룹 표시 </t>
    </r>
    <r>
      <rPr>
        <sz val="9"/>
        <rFont val="Malgun Gothic"/>
        <family val="0"/>
        <charset val="1"/>
      </rPr>
      <t xml:space="preserve">UI</t>
    </r>
  </si>
  <si>
    <t xml:space="preserve">FN-WRK-013</t>
  </si>
  <si>
    <t xml:space="preserve">웜업 세트 집계 제외</t>
  </si>
  <si>
    <r>
      <rPr>
        <sz val="9"/>
        <rFont val="Noto Sans CJK SC"/>
        <family val="2"/>
      </rPr>
      <t xml:space="preserve">총 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강도 분석에서 웜업 세트를 제외한다</t>
    </r>
    <r>
      <rPr>
        <sz val="9"/>
        <rFont val="Malgun Gothic"/>
        <family val="0"/>
        <charset val="1"/>
      </rPr>
      <t xml:space="preserve">.</t>
    </r>
  </si>
  <si>
    <t xml:space="preserve">세트 목록</t>
  </si>
  <si>
    <t xml:space="preserve">타입 필터 후 집계</t>
  </si>
  <si>
    <t xml:space="preserve">집계 결과</t>
  </si>
  <si>
    <t xml:space="preserve">이전 기록 프리필</t>
  </si>
  <si>
    <r>
      <rPr>
        <sz val="9"/>
        <rFont val="Noto Sans CJK SC"/>
        <family val="2"/>
      </rPr>
      <t xml:space="preserve">종목 추가 시 직전 수행 기록 또는 루틴 목표값을 기본값으로 채운다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</si>
  <si>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루틴 목표값</t>
    </r>
  </si>
  <si>
    <r>
      <rPr>
        <sz val="9"/>
        <rFont val="Noto Sans CJK SC"/>
        <family val="2"/>
      </rPr>
      <t xml:space="preserve">루틴 목표 우선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없으면 최근 일지의 세트 구성 복사</t>
    </r>
  </si>
  <si>
    <t xml:space="preserve">프리필된 세트 목록</t>
  </si>
  <si>
    <t xml:space="preserve">FN-WRK-015</t>
  </si>
  <si>
    <t xml:space="preserve">세트 복사</t>
  </si>
  <si>
    <r>
      <rPr>
        <sz val="9"/>
        <rFont val="Noto Sans CJK SC"/>
        <family val="2"/>
      </rPr>
      <t xml:space="preserve">직전 세트를 그대로 복제해 추가한다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</si>
  <si>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 </t>
    </r>
    <r>
      <rPr>
        <sz val="9"/>
        <rFont val="Malgun Gothic"/>
        <family val="0"/>
        <charset val="1"/>
      </rPr>
      <t xml:space="preserve">ID</t>
    </r>
  </si>
  <si>
    <t xml:space="preserve">값 복사하여 신규 세트 생성</t>
  </si>
  <si>
    <t xml:space="preserve">FN-WRK-016</t>
  </si>
  <si>
    <t xml:space="preserve">세트 삭제</t>
  </si>
  <si>
    <r>
      <rPr>
        <sz val="9"/>
        <rFont val="Noto Sans CJK SC"/>
        <family val="2"/>
      </rPr>
      <t xml:space="preserve">특정 세트를 삭제한다</t>
    </r>
    <r>
      <rPr>
        <sz val="9"/>
        <rFont val="Malgun Gothic"/>
        <family val="0"/>
        <charset val="1"/>
      </rPr>
      <t xml:space="preserve">.</t>
    </r>
  </si>
  <si>
    <t xml:space="preserve">삭제 후 세트 순번 재정렬</t>
  </si>
  <si>
    <t xml:space="preserve">세트 목록 갱신</t>
  </si>
  <si>
    <t xml:space="preserve">FN-WRK-017</t>
  </si>
  <si>
    <t xml:space="preserve">세트 순서 변경</t>
  </si>
  <si>
    <r>
      <rPr>
        <sz val="9"/>
        <rFont val="Noto Sans CJK SC"/>
        <family val="2"/>
      </rPr>
      <t xml:space="preserve">세트 순서를 변경한다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</si>
  <si>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목표 순번</t>
    </r>
  </si>
  <si>
    <t xml:space="preserve">순번 일괄 재계산</t>
  </si>
  <si>
    <t xml:space="preserve">정렬된 세트 목록</t>
  </si>
  <si>
    <t xml:space="preserve">FN-WRK-018</t>
  </si>
  <si>
    <t xml:space="preserve">종목 순서 변경</t>
  </si>
  <si>
    <r>
      <rPr>
        <sz val="9"/>
        <rFont val="Noto Sans CJK SC"/>
        <family val="2"/>
      </rPr>
      <t xml:space="preserve">드래그로 일지 내 종목 순서를 변경한다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</si>
  <si>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항목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목표 순번</t>
    </r>
  </si>
  <si>
    <t xml:space="preserve">정렬된 종목 목록</t>
  </si>
  <si>
    <t xml:space="preserve">FN-WRK-019</t>
  </si>
  <si>
    <t xml:space="preserve">운동 시작</t>
  </si>
  <si>
    <r>
      <rPr>
        <sz val="9"/>
        <rFont val="Noto Sans CJK SC"/>
        <family val="2"/>
      </rPr>
      <t xml:space="preserve">일지를 수행 모드로 전환하고 세션 시작시각을 기록한다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</si>
  <si>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세션 상태 </t>
    </r>
    <r>
      <rPr>
        <sz val="9"/>
        <rFont val="Malgun Gothic"/>
        <family val="0"/>
        <charset val="1"/>
      </rPr>
      <t xml:space="preserve">IN_PROGRESS, </t>
    </r>
    <r>
      <rPr>
        <sz val="9"/>
        <rFont val="Noto Sans CJK SC"/>
        <family val="2"/>
      </rPr>
      <t xml:space="preserve">시작시각 저장</t>
    </r>
  </si>
  <si>
    <t xml:space="preserve">수행 화면 진입</t>
  </si>
  <si>
    <t xml:space="preserve">SCR-WRK-003</t>
  </si>
  <si>
    <t xml:space="preserve">FN-WRK-020</t>
  </si>
  <si>
    <t xml:space="preserve">세트 완료 체크</t>
  </si>
  <si>
    <r>
      <rPr>
        <sz val="9"/>
        <rFont val="Noto Sans CJK SC"/>
        <family val="2"/>
      </rPr>
      <t xml:space="preserve">수행한 세트를 완료 처리한다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</si>
  <si>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완료 플래그 및 완료시각 저장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휴식 타이머 자동 시작</t>
    </r>
  </si>
  <si>
    <r>
      <rPr>
        <sz val="9"/>
        <rFont val="Noto Sans CJK SC"/>
        <family val="2"/>
      </rPr>
      <t xml:space="preserve">완료 표시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타이머 실행</t>
    </r>
  </si>
  <si>
    <t xml:space="preserve">FN-WRK-021</t>
  </si>
  <si>
    <t xml:space="preserve">진행률 표시</t>
  </si>
  <si>
    <r>
      <rPr>
        <sz val="9"/>
        <rFont val="Noto Sans CJK SC"/>
        <family val="2"/>
      </rPr>
      <t xml:space="preserve">전체 세트 대비 완료 세트 비율을 표시한다</t>
    </r>
    <r>
      <rPr>
        <sz val="9"/>
        <rFont val="Malgun Gothic"/>
        <family val="0"/>
        <charset val="1"/>
      </rPr>
      <t xml:space="preserve">.</t>
    </r>
  </si>
  <si>
    <t xml:space="preserve">세트 완료 상태</t>
  </si>
  <si>
    <r>
      <rPr>
        <sz val="9"/>
        <rFont val="Noto Sans CJK SC"/>
        <family val="2"/>
      </rPr>
      <t xml:space="preserve">완료수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전체수 산출</t>
    </r>
  </si>
  <si>
    <t xml:space="preserve">진행률 바</t>
  </si>
  <si>
    <t xml:space="preserve">FN-WRK-022</t>
  </si>
  <si>
    <t xml:space="preserve">화면 켜짐 유지</t>
  </si>
  <si>
    <r>
      <rPr>
        <sz val="9"/>
        <rFont val="Noto Sans CJK SC"/>
        <family val="2"/>
      </rPr>
      <t xml:space="preserve">수행 모드에서 화면이 자동으로 꺼지지 않게 한다</t>
    </r>
    <r>
      <rPr>
        <sz val="9"/>
        <rFont val="Malgun Gothic"/>
        <family val="0"/>
        <charset val="1"/>
      </rPr>
      <t xml:space="preserve">.</t>
    </r>
  </si>
  <si>
    <t xml:space="preserve">수행 모드 진입</t>
  </si>
  <si>
    <r>
      <rPr>
        <sz val="9"/>
        <rFont val="Malgun Gothic"/>
        <family val="0"/>
        <charset val="1"/>
      </rPr>
      <t xml:space="preserve">KEEP_SCREEN_ON </t>
    </r>
    <r>
      <rPr>
        <sz val="9"/>
        <rFont val="Noto Sans CJK SC"/>
        <family val="2"/>
      </rPr>
      <t xml:space="preserve">플래그 설정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해제</t>
    </r>
  </si>
  <si>
    <t xml:space="preserve">화면 상태 유지</t>
  </si>
  <si>
    <t xml:space="preserve">FN-WRK-023</t>
  </si>
  <si>
    <t xml:space="preserve">수행 상태 복원</t>
  </si>
  <si>
    <r>
      <rPr>
        <sz val="9"/>
        <rFont val="Noto Sans CJK SC"/>
        <family val="2"/>
      </rPr>
      <t xml:space="preserve">앱 강제종료 후 재진입 시 진행 중 세션을 복원한다</t>
    </r>
    <r>
      <rPr>
        <sz val="9"/>
        <rFont val="Malgun Gothic"/>
        <family val="0"/>
        <charset val="1"/>
      </rPr>
      <t xml:space="preserve">.</t>
    </r>
  </si>
  <si>
    <t xml:space="preserve">진행 중 세션 레코드</t>
  </si>
  <si>
    <r>
      <rPr>
        <sz val="9"/>
        <rFont val="Malgun Gothic"/>
        <family val="0"/>
        <charset val="1"/>
      </rPr>
      <t xml:space="preserve">IN_PROGRESS </t>
    </r>
    <r>
      <rPr>
        <sz val="9"/>
        <rFont val="Noto Sans CJK SC"/>
        <family val="2"/>
      </rPr>
      <t xml:space="preserve">세션 조회 후 복원 여부 확인</t>
    </r>
  </si>
  <si>
    <t xml:space="preserve">수행 화면 복원</t>
  </si>
  <si>
    <t xml:space="preserve">FN-WRK-024</t>
  </si>
  <si>
    <t xml:space="preserve">일지 메모 작성</t>
  </si>
  <si>
    <r>
      <rPr>
        <sz val="9"/>
        <rFont val="Noto Sans CJK SC"/>
        <family val="2"/>
      </rPr>
      <t xml:space="preserve">오늘의 컨디션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특이사항을 일지 단위로 기록한다</t>
    </r>
    <r>
      <rPr>
        <sz val="9"/>
        <rFont val="Malgun Gothic"/>
        <family val="0"/>
        <charset val="1"/>
      </rPr>
      <t xml:space="preserve">.</t>
    </r>
  </si>
  <si>
    <t xml:space="preserve">텍스트</t>
  </si>
  <si>
    <t xml:space="preserve">일지 헤더에 저장</t>
  </si>
  <si>
    <t xml:space="preserve">메모 표시</t>
  </si>
  <si>
    <t xml:space="preserve">FN-WRK-025</t>
  </si>
  <si>
    <t xml:space="preserve">종목 메모 작성</t>
  </si>
  <si>
    <r>
      <rPr>
        <sz val="9"/>
        <rFont val="Noto Sans CJK SC"/>
        <family val="2"/>
      </rPr>
      <t xml:space="preserve">자극점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통증 등을 종목 단위로 기록한다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</si>
  <si>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일지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 레코드에 저장</t>
    </r>
  </si>
  <si>
    <t xml:space="preserve">FN-WRK-026</t>
  </si>
  <si>
    <t xml:space="preserve">세트 메모 작성</t>
  </si>
  <si>
    <r>
      <rPr>
        <sz val="9"/>
        <rFont val="Noto Sans CJK SC"/>
        <family val="2"/>
      </rPr>
      <t xml:space="preserve">특정 세트의 폼 이슈를 기록한다</t>
    </r>
    <r>
      <rPr>
        <sz val="9"/>
        <rFont val="Malgun Gothic"/>
        <family val="0"/>
        <charset val="1"/>
      </rPr>
      <t xml:space="preserve">.</t>
    </r>
  </si>
  <si>
    <t xml:space="preserve">세트 레코드에 저장</t>
  </si>
  <si>
    <t xml:space="preserve">메모 아이콘 표시</t>
  </si>
  <si>
    <t xml:space="preserve">FN-WRK-027</t>
  </si>
  <si>
    <t xml:space="preserve">세션 지표 산출</t>
  </si>
  <si>
    <r>
      <rPr>
        <sz val="9"/>
        <rFont val="Noto Sans CJK SC"/>
        <family val="2"/>
      </rPr>
      <t xml:space="preserve">총 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총 세트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총 횟수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순 운동시간을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</si>
  <si>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시작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종료시각</t>
    </r>
  </si>
  <si>
    <r>
      <rPr>
        <sz val="9"/>
        <rFont val="Noto Sans CJK SC"/>
        <family val="2"/>
      </rPr>
      <t xml:space="preserve">웜업 제외 볼륨 합계</t>
    </r>
    <r>
      <rPr>
        <sz val="9"/>
        <rFont val="Malgun Gothic"/>
        <family val="0"/>
        <charset val="1"/>
      </rPr>
      <t xml:space="preserve">(Σ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×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시간 차 계산</t>
    </r>
  </si>
  <si>
    <t xml:space="preserve">세션 요약 데이터</t>
  </si>
  <si>
    <t xml:space="preserve">SCR-WRK-004</t>
  </si>
  <si>
    <t xml:space="preserve">FN-WRK-028</t>
  </si>
  <si>
    <t xml:space="preserve">부위별 세트 비중 산출</t>
  </si>
  <si>
    <r>
      <rPr>
        <sz val="9"/>
        <rFont val="Noto Sans CJK SC"/>
        <family val="2"/>
      </rPr>
      <t xml:space="preserve">일지의 부위별 세트 수 비중을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</si>
  <si>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부위 매핑</t>
    </r>
  </si>
  <si>
    <t xml:space="preserve">부위별 집계 후 백분율 계산</t>
  </si>
  <si>
    <t xml:space="preserve">부위 비중 차트</t>
  </si>
  <si>
    <t xml:space="preserve">FN-WRK-029</t>
  </si>
  <si>
    <t xml:space="preserve">유산소 기록 입력</t>
  </si>
  <si>
    <r>
      <rPr>
        <sz val="9"/>
        <rFont val="Noto Sans CJK SC"/>
        <family val="2"/>
      </rPr>
      <t xml:space="preserve">운동시간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거리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평균심박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소모칼로리를 입력한다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</si>
  <si>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시간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거리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심박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칼로리</t>
    </r>
  </si>
  <si>
    <t xml:space="preserve">기록유형별 필드 검증 후 저장</t>
  </si>
  <si>
    <t xml:space="preserve">유산소 기록 카드</t>
  </si>
  <si>
    <t xml:space="preserve">SCR-WRK-005</t>
  </si>
  <si>
    <t xml:space="preserve">FN-WRK-030</t>
  </si>
  <si>
    <t xml:space="preserve">혼합 유형 일지 구성</t>
  </si>
  <si>
    <r>
      <rPr>
        <sz val="9"/>
        <rFont val="Noto Sans CJK SC"/>
        <family val="2"/>
      </rPr>
      <t xml:space="preserve">웨이트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맨몸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유산소를 하나의 일지에 함께 기록한다</t>
    </r>
    <r>
      <rPr>
        <sz val="9"/>
        <rFont val="Malgun Gothic"/>
        <family val="0"/>
        <charset val="1"/>
      </rPr>
      <t xml:space="preserve">.</t>
    </r>
  </si>
  <si>
    <t xml:space="preserve">종목 유형별 항목</t>
  </si>
  <si>
    <t xml:space="preserve">유형별 입력 컴포넌트 동적 렌더링</t>
  </si>
  <si>
    <t xml:space="preserve">혼합 일지</t>
  </si>
  <si>
    <t xml:space="preserve">자동 임시저장</t>
  </si>
  <si>
    <r>
      <rPr>
        <sz val="9"/>
        <rFont val="Noto Sans CJK SC"/>
        <family val="2"/>
      </rPr>
      <t xml:space="preserve">입력 이벤트마다 로컬 </t>
    </r>
    <r>
      <rPr>
        <sz val="9"/>
        <rFont val="Malgun Gothic"/>
        <family val="0"/>
        <charset val="1"/>
      </rPr>
      <t xml:space="preserve">DB</t>
    </r>
    <r>
      <rPr>
        <sz val="9"/>
        <rFont val="Noto Sans CJK SC"/>
        <family val="2"/>
      </rPr>
      <t xml:space="preserve">에 즉시 반영한다</t>
    </r>
    <r>
      <rPr>
        <sz val="9"/>
        <rFont val="Malgun Gothic"/>
        <family val="0"/>
        <charset val="1"/>
      </rPr>
      <t xml:space="preserve">.</t>
    </r>
  </si>
  <si>
    <t xml:space="preserve">입력 이벤트</t>
  </si>
  <si>
    <r>
      <rPr>
        <sz val="9"/>
        <rFont val="Noto Sans CJK SC"/>
        <family val="2"/>
      </rPr>
      <t xml:space="preserve">디바운스 </t>
    </r>
    <r>
      <rPr>
        <sz val="9"/>
        <rFont val="Malgun Gothic"/>
        <family val="0"/>
        <charset val="1"/>
      </rPr>
      <t xml:space="preserve">300ms </t>
    </r>
    <r>
      <rPr>
        <sz val="9"/>
        <rFont val="Noto Sans CJK SC"/>
        <family val="2"/>
      </rPr>
      <t xml:space="preserve">후 </t>
    </r>
    <r>
      <rPr>
        <sz val="9"/>
        <rFont val="Malgun Gothic"/>
        <family val="0"/>
        <charset val="1"/>
      </rPr>
      <t xml:space="preserve">Room upsert</t>
    </r>
  </si>
  <si>
    <t xml:space="preserve">저장 상태 표시</t>
  </si>
  <si>
    <t xml:space="preserve">FN-WRK-032</t>
  </si>
  <si>
    <r>
      <rPr>
        <sz val="9"/>
        <rFont val="Malgun Gothic"/>
        <family val="0"/>
        <charset val="1"/>
      </rPr>
      <t xml:space="preserve">RPE </t>
    </r>
    <r>
      <rPr>
        <sz val="9"/>
        <rFont val="Noto Sans CJK SC"/>
        <family val="2"/>
      </rPr>
      <t xml:space="preserve">입력</t>
    </r>
  </si>
  <si>
    <r>
      <rPr>
        <sz val="9"/>
        <rFont val="Noto Sans CJK SC"/>
        <family val="2"/>
      </rPr>
      <t xml:space="preserve">세트별 </t>
    </r>
    <r>
      <rPr>
        <sz val="9"/>
        <rFont val="Malgun Gothic"/>
        <family val="0"/>
        <charset val="1"/>
      </rPr>
      <t xml:space="preserve">RPE(1~10) </t>
    </r>
    <r>
      <rPr>
        <sz val="9"/>
        <rFont val="Noto Sans CJK SC"/>
        <family val="2"/>
      </rPr>
      <t xml:space="preserve">또는 </t>
    </r>
    <r>
      <rPr>
        <sz val="9"/>
        <rFont val="Malgun Gothic"/>
        <family val="0"/>
        <charset val="1"/>
      </rPr>
      <t xml:space="preserve">RIR</t>
    </r>
    <r>
      <rPr>
        <sz val="9"/>
        <rFont val="Noto Sans CJK SC"/>
        <family val="2"/>
      </rPr>
      <t xml:space="preserve">을 선택 입력한다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</si>
  <si>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RPE </t>
    </r>
    <r>
      <rPr>
        <sz val="9"/>
        <rFont val="Noto Sans CJK SC"/>
        <family val="2"/>
      </rPr>
      <t xml:space="preserve">값</t>
    </r>
  </si>
  <si>
    <r>
      <rPr>
        <sz val="9"/>
        <rFont val="Malgun Gothic"/>
        <family val="0"/>
        <charset val="1"/>
      </rPr>
      <t xml:space="preserve">RPE </t>
    </r>
    <r>
      <rPr>
        <sz val="9"/>
        <rFont val="Noto Sans CJK SC"/>
        <family val="2"/>
      </rPr>
      <t xml:space="preserve">표시</t>
    </r>
  </si>
  <si>
    <t xml:space="preserve">FN-WRK-033</t>
  </si>
  <si>
    <t xml:space="preserve">컨디션 기록</t>
  </si>
  <si>
    <r>
      <rPr>
        <sz val="9"/>
        <rFont val="Noto Sans CJK SC"/>
        <family val="2"/>
      </rPr>
      <t xml:space="preserve">수면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컨디션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근육통을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단계로 기록한다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</si>
  <si>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단계 선택값</t>
    </r>
  </si>
  <si>
    <t xml:space="preserve">컨디션 표시</t>
  </si>
  <si>
    <t xml:space="preserve">FN-RTN-001</t>
  </si>
  <si>
    <t xml:space="preserve">루틴 생성</t>
  </si>
  <si>
    <r>
      <rPr>
        <sz val="9"/>
        <rFont val="Noto Sans CJK SC"/>
        <family val="2"/>
      </rPr>
      <t xml:space="preserve">루틴명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설명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대상부위를 지정해 신규 루틴을 만든다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</si>
  <si>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루틴명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설명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대상부위</t>
    </r>
  </si>
  <si>
    <t xml:space="preserve">루틴 헤더 생성</t>
  </si>
  <si>
    <t xml:space="preserve">루틴 편집 화면</t>
  </si>
  <si>
    <t xml:space="preserve">SCR-RTN-002</t>
  </si>
  <si>
    <t xml:space="preserve">FN-RTN-002</t>
  </si>
  <si>
    <t xml:space="preserve">루틴 목록 조회</t>
  </si>
  <si>
    <r>
      <rPr>
        <sz val="9"/>
        <rFont val="Noto Sans CJK SC"/>
        <family val="2"/>
      </rPr>
      <t xml:space="preserve">등록된 루틴을 목록으로 조회한다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</si>
  <si>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최근 수행일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사용빈도순 정렬 조회</t>
    </r>
  </si>
  <si>
    <t xml:space="preserve">루틴 목록</t>
  </si>
  <si>
    <t xml:space="preserve">SCR-RTN-001</t>
  </si>
  <si>
    <t xml:space="preserve">FN-RTN-003</t>
  </si>
  <si>
    <t xml:space="preserve">루틴 수정</t>
  </si>
  <si>
    <r>
      <rPr>
        <sz val="9"/>
        <rFont val="Noto Sans CJK SC"/>
        <family val="2"/>
      </rPr>
      <t xml:space="preserve">루틴의 종목 구성과 목표값을 수정한다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</si>
  <si>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루틴 정의 갱신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기존 일지 영향 없음</t>
    </r>
    <r>
      <rPr>
        <sz val="9"/>
        <rFont val="Malgun Gothic"/>
        <family val="0"/>
        <charset val="1"/>
      </rPr>
      <t xml:space="preserve">)</t>
    </r>
  </si>
  <si>
    <t xml:space="preserve">갱신된 루틴</t>
  </si>
  <si>
    <t xml:space="preserve">FN-RTN-004</t>
  </si>
  <si>
    <t xml:space="preserve">루틴 삭제</t>
  </si>
  <si>
    <r>
      <rPr>
        <sz val="9"/>
        <rFont val="Noto Sans CJK SC"/>
        <family val="2"/>
      </rPr>
      <t xml:space="preserve">루틴을 삭제한다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</si>
  <si>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루틴 </t>
    </r>
    <r>
      <rPr>
        <sz val="9"/>
        <rFont val="Malgun Gothic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</si>
  <si>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확인 후 논리삭제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참조 일지의 루틴명은 보존</t>
    </r>
  </si>
  <si>
    <t xml:space="preserve">FN-RTN-005</t>
  </si>
  <si>
    <t xml:space="preserve">루틴 종목 구성</t>
  </si>
  <si>
    <r>
      <rPr>
        <sz val="9"/>
        <rFont val="Noto Sans CJK SC"/>
        <family val="2"/>
      </rPr>
      <t xml:space="preserve">루틴에 종목을 추가하고 순서를 지정한다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</si>
  <si>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 </t>
    </r>
    <r>
      <rPr>
        <sz val="9"/>
        <rFont val="Noto Sans CJK SC"/>
        <family val="2"/>
      </rPr>
      <t xml:space="preserve">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순번</t>
    </r>
  </si>
  <si>
    <r>
      <rPr>
        <sz val="9"/>
        <rFont val="Noto Sans CJK SC"/>
        <family val="2"/>
      </rPr>
      <t xml:space="preserve">루틴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 레코드 생성</t>
    </r>
  </si>
  <si>
    <t xml:space="preserve">루틴 종목 목록</t>
  </si>
  <si>
    <t xml:space="preserve">FN-RTN-006</t>
  </si>
  <si>
    <t xml:space="preserve">목표값 설정</t>
  </si>
  <si>
    <r>
      <rPr>
        <sz val="9"/>
        <rFont val="Noto Sans CJK SC"/>
        <family val="2"/>
      </rPr>
      <t xml:space="preserve">종목별 목표 세트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휴식시간을 지정한다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</si>
  <si>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목표값 또는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대비 </t>
    </r>
    <r>
      <rPr>
        <sz val="9"/>
        <rFont val="Malgun Gothic"/>
        <family val="0"/>
        <charset val="1"/>
      </rPr>
      <t xml:space="preserve">%</t>
    </r>
  </si>
  <si>
    <r>
      <rPr>
        <sz val="9"/>
        <rFont val="Noto Sans CJK SC"/>
        <family val="2"/>
      </rPr>
      <t xml:space="preserve">절대중량 입력 또는 </t>
    </r>
    <r>
      <rPr>
        <sz val="9"/>
        <rFont val="Malgun Gothic"/>
        <family val="0"/>
        <charset val="1"/>
      </rPr>
      <t xml:space="preserve">%1RM×</t>
    </r>
    <r>
      <rPr>
        <sz val="9"/>
        <rFont val="Noto Sans CJK SC"/>
        <family val="2"/>
      </rPr>
      <t xml:space="preserve">추정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환산 저장</t>
    </r>
  </si>
  <si>
    <t xml:space="preserve">목표값 표시</t>
  </si>
  <si>
    <t xml:space="preserve">FN-RTN-007</t>
  </si>
  <si>
    <t xml:space="preserve">루틴으로 일지 생성</t>
  </si>
  <si>
    <r>
      <rPr>
        <sz val="9"/>
        <rFont val="Noto Sans CJK SC"/>
        <family val="2"/>
      </rPr>
      <t xml:space="preserve">루틴을 선택해 해당 일자 일지로 인스턴스화한다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</si>
  <si>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루틴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일자</t>
    </r>
  </si>
  <si>
    <r>
      <rPr>
        <sz val="9"/>
        <rFont val="Noto Sans CJK SC"/>
        <family val="2"/>
      </rPr>
      <t xml:space="preserve">루틴 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목표값을 일지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세트로 복제</t>
    </r>
  </si>
  <si>
    <t xml:space="preserve">FN-RTN-008</t>
  </si>
  <si>
    <t xml:space="preserve">일지를 루틴으로 저장</t>
  </si>
  <si>
    <r>
      <rPr>
        <sz val="9"/>
        <rFont val="Noto Sans CJK SC"/>
        <family val="2"/>
      </rPr>
      <t xml:space="preserve">수행한 일지 구성을 신규 루틴으로 저장한다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</si>
  <si>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일지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루틴명</t>
    </r>
  </si>
  <si>
    <r>
      <rPr>
        <sz val="9"/>
        <rFont val="Noto Sans CJK SC"/>
        <family val="2"/>
      </rPr>
      <t xml:space="preserve">일지 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 구성을 루틴 정의로 변환</t>
    </r>
  </si>
  <si>
    <t xml:space="preserve">신규 루틴 생성</t>
  </si>
  <si>
    <t xml:space="preserve">FN-RTN-009</t>
  </si>
  <si>
    <t xml:space="preserve">분할 프로그램 생성</t>
  </si>
  <si>
    <r>
      <rPr>
        <sz val="9"/>
        <rFont val="Noto Sans CJK SC"/>
        <family val="2"/>
      </rPr>
      <t xml:space="preserve">복수 루틴을 하나의 분할 프로그램으로 묶는다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</si>
  <si>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프로그램명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순서</t>
    </r>
  </si>
  <si>
    <r>
      <rPr>
        <sz val="9"/>
        <rFont val="Noto Sans CJK SC"/>
        <family val="2"/>
      </rPr>
      <t xml:space="preserve">프로그램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루틴 매핑 생성</t>
    </r>
  </si>
  <si>
    <t xml:space="preserve">프로그램 상세</t>
  </si>
  <si>
    <t xml:space="preserve">SCR-RTN-003</t>
  </si>
  <si>
    <t xml:space="preserve">FN-RTN-010</t>
  </si>
  <si>
    <t xml:space="preserve">요일 고정 배정</t>
  </si>
  <si>
    <r>
      <rPr>
        <sz val="9"/>
        <rFont val="Noto Sans CJK SC"/>
        <family val="2"/>
      </rPr>
      <t xml:space="preserve">요일별로 수행할 루틴을 고정 배정한다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</si>
  <si>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요일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루틴 매핑</t>
    </r>
  </si>
  <si>
    <r>
      <rPr>
        <sz val="9"/>
        <rFont val="Noto Sans CJK SC"/>
        <family val="2"/>
      </rPr>
      <t xml:space="preserve">매핑 저장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캘린더 계획 자동 생성</t>
    </r>
  </si>
  <si>
    <t xml:space="preserve">주간 계획</t>
  </si>
  <si>
    <t xml:space="preserve">FN-RTN-011</t>
  </si>
  <si>
    <t xml:space="preserve">순환 배정</t>
  </si>
  <si>
    <r>
      <rPr>
        <sz val="9"/>
        <rFont val="Noto Sans CJK SC"/>
        <family val="2"/>
      </rPr>
      <t xml:space="preserve">요일과 무관하게 루틴을 순환 방식으로 제안한다</t>
    </r>
    <r>
      <rPr>
        <sz val="9"/>
        <rFont val="Malgun Gothic"/>
        <family val="0"/>
        <charset val="1"/>
      </rPr>
      <t xml:space="preserve">.</t>
    </r>
  </si>
  <si>
    <t xml:space="preserve">최근 수행 루틴</t>
  </si>
  <si>
    <t xml:space="preserve">순환 순서상 다음 루틴 결정</t>
  </si>
  <si>
    <t xml:space="preserve">다음 수행 루틴 제안</t>
  </si>
  <si>
    <t xml:space="preserve">FN-RTN-012</t>
  </si>
  <si>
    <t xml:space="preserve">주기화 계획 정의</t>
  </si>
  <si>
    <r>
      <rPr>
        <sz val="9"/>
        <rFont val="Noto Sans CJK SC"/>
        <family val="2"/>
      </rPr>
      <t xml:space="preserve">주차별 목표 세트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강도 변화 계획을 정의한다</t>
    </r>
    <r>
      <rPr>
        <sz val="9"/>
        <rFont val="Malgun Gothic"/>
        <family val="0"/>
        <charset val="1"/>
      </rPr>
      <t xml:space="preserve">.</t>
    </r>
  </si>
  <si>
    <t xml:space="preserve">주차별 파라미터</t>
  </si>
  <si>
    <t xml:space="preserve">주차 단위 계획 레코드 생성</t>
  </si>
  <si>
    <t xml:space="preserve">주기화 계획표</t>
  </si>
  <si>
    <t xml:space="preserve">SCR-RTN-004</t>
  </si>
  <si>
    <t xml:space="preserve">FN-RTN-013</t>
  </si>
  <si>
    <t xml:space="preserve">점진적 과부하 규칙 설정</t>
  </si>
  <si>
    <r>
      <rPr>
        <sz val="9"/>
        <rFont val="Noto Sans CJK SC"/>
        <family val="2"/>
      </rPr>
      <t xml:space="preserve">증량 조건과 증량 단위를 규칙으로 설정한다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</si>
  <si>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조건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목표 횟수 달성 등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증량값</t>
    </r>
  </si>
  <si>
    <t xml:space="preserve">규칙 저장</t>
  </si>
  <si>
    <t xml:space="preserve">규칙 목록</t>
  </si>
  <si>
    <t xml:space="preserve">FN-RTN-014</t>
  </si>
  <si>
    <t xml:space="preserve">다음 목표 자동 제안</t>
  </si>
  <si>
    <r>
      <rPr>
        <sz val="9"/>
        <rFont val="Noto Sans CJK SC"/>
        <family val="2"/>
      </rPr>
      <t xml:space="preserve">직전 수행 결과와 규칙에 따라 다음 목표 중량을 제안한다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</si>
  <si>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직전 기록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과부하 규칙</t>
    </r>
  </si>
  <si>
    <t xml:space="preserve">규칙 평가 후 목표값 산출</t>
  </si>
  <si>
    <t xml:space="preserve">제안 목표값</t>
  </si>
  <si>
    <t xml:space="preserve">FN-RTN-015</t>
  </si>
  <si>
    <t xml:space="preserve">루틴 복제</t>
  </si>
  <si>
    <r>
      <rPr>
        <sz val="9"/>
        <rFont val="Noto Sans CJK SC"/>
        <family val="2"/>
      </rPr>
      <t xml:space="preserve">기존 루틴을 복제해 변형 루틴을 만든다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</si>
  <si>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목표값 전체 복사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명칭에 사본 표기</t>
    </r>
  </si>
  <si>
    <t xml:space="preserve">복제된 루틴</t>
  </si>
  <si>
    <t xml:space="preserve">FN-RTN-016</t>
  </si>
  <si>
    <t xml:space="preserve">루틴 버전 이력</t>
  </si>
  <si>
    <r>
      <rPr>
        <sz val="9"/>
        <rFont val="Noto Sans CJK SC"/>
        <family val="2"/>
      </rPr>
      <t xml:space="preserve">루틴 정의 변경 시 이전 버전을 이력으로 보관한다</t>
    </r>
    <r>
      <rPr>
        <sz val="9"/>
        <rFont val="Malgun Gothic"/>
        <family val="0"/>
        <charset val="1"/>
      </rPr>
      <t xml:space="preserve">.</t>
    </r>
  </si>
  <si>
    <t xml:space="preserve">루틴 수정 이벤트</t>
  </si>
  <si>
    <t xml:space="preserve">변경 전 정의를 버전 스냅샷으로 적재</t>
  </si>
  <si>
    <t xml:space="preserve">버전 이력 목록</t>
  </si>
  <si>
    <t xml:space="preserve">FN-RTN-017</t>
  </si>
  <si>
    <t xml:space="preserve">추천 루틴 프리셋 조회</t>
  </si>
  <si>
    <r>
      <rPr>
        <sz val="9"/>
        <rFont val="Noto Sans CJK SC"/>
        <family val="2"/>
      </rPr>
      <t xml:space="preserve">부위별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목적별 기본 루틴 프리셋을 조회한다</t>
    </r>
    <r>
      <rPr>
        <sz val="9"/>
        <rFont val="Malgun Gothic"/>
        <family val="0"/>
        <charset val="1"/>
      </rPr>
      <t xml:space="preserve">.</t>
    </r>
  </si>
  <si>
    <t xml:space="preserve">분류 조건</t>
  </si>
  <si>
    <t xml:space="preserve">내장 프리셋 데이터 조회</t>
  </si>
  <si>
    <t xml:space="preserve">프리셋 목록</t>
  </si>
  <si>
    <t xml:space="preserve">SCR-RTN-005</t>
  </si>
  <si>
    <t xml:space="preserve">FN-RTN-018</t>
  </si>
  <si>
    <t xml:space="preserve">프리셋 내 루틴으로 복제</t>
  </si>
  <si>
    <r>
      <rPr>
        <sz val="9"/>
        <rFont val="Noto Sans CJK SC"/>
        <family val="2"/>
      </rPr>
      <t xml:space="preserve">프리셋을 내 루틴으로 복사해 편집한다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</si>
  <si>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프리셋 </t>
    </r>
    <r>
      <rPr>
        <sz val="9"/>
        <rFont val="Malgun Gothic"/>
        <family val="0"/>
        <charset val="1"/>
      </rPr>
      <t xml:space="preserve">ID</t>
    </r>
  </si>
  <si>
    <t xml:space="preserve">사용자 루틴으로 복제 후 편집 진입</t>
  </si>
  <si>
    <t xml:space="preserve">편집 가능한 루틴</t>
  </si>
  <si>
    <t xml:space="preserve">FN-CAL-001</t>
  </si>
  <si>
    <r>
      <rPr>
        <sz val="9"/>
        <rFont val="Noto Sans CJK SC"/>
        <family val="2"/>
      </rPr>
      <t xml:space="preserve">월 단위로 운동 수행일을 조회한다</t>
    </r>
    <r>
      <rPr>
        <sz val="9"/>
        <rFont val="Malgun Gothic"/>
        <family val="0"/>
        <charset val="1"/>
      </rPr>
      <t xml:space="preserve">.</t>
    </r>
  </si>
  <si>
    <t xml:space="preserve">기준 연월</t>
  </si>
  <si>
    <t xml:space="preserve">해당 월 일지 목록 조회 및 일자별 집계</t>
  </si>
  <si>
    <t xml:space="preserve">월간 캘린더</t>
  </si>
  <si>
    <t xml:space="preserve">SCR-CAL-001</t>
  </si>
  <si>
    <t xml:space="preserve">FN-CAL-002</t>
  </si>
  <si>
    <t xml:space="preserve">수행일 마커 표시</t>
  </si>
  <si>
    <r>
      <rPr>
        <sz val="9"/>
        <rFont val="Noto Sans CJK SC"/>
        <family val="2"/>
      </rPr>
      <t xml:space="preserve">일자별 운동 유형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부위를 마커로 표시한다</t>
    </r>
    <r>
      <rPr>
        <sz val="9"/>
        <rFont val="Malgun Gothic"/>
        <family val="0"/>
        <charset val="1"/>
      </rPr>
      <t xml:space="preserve">.</t>
    </r>
  </si>
  <si>
    <t xml:space="preserve">일자별 일지 요약</t>
  </si>
  <si>
    <r>
      <rPr>
        <sz val="9"/>
        <rFont val="Noto Sans CJK SC"/>
        <family val="2"/>
      </rPr>
      <t xml:space="preserve">유형별 색상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아이콘 매핑</t>
    </r>
  </si>
  <si>
    <t xml:space="preserve">캘린더 마커</t>
  </si>
  <si>
    <t xml:space="preserve">캘린더 필터 적용</t>
  </si>
  <si>
    <r>
      <rPr>
        <sz val="9"/>
        <rFont val="Noto Sans CJK SC"/>
        <family val="2"/>
      </rPr>
      <t xml:space="preserve">루틴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부위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유형 조건으로 표시를 필터링한다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</si>
  <si>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조건 일치 일지만 마커 표시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조건 저장</t>
    </r>
  </si>
  <si>
    <t xml:space="preserve">필터된 캘린더</t>
  </si>
  <si>
    <t xml:space="preserve">FN-CAL-004</t>
  </si>
  <si>
    <t xml:space="preserve">계획 등록</t>
  </si>
  <si>
    <r>
      <rPr>
        <sz val="9"/>
        <rFont val="Noto Sans CJK SC"/>
        <family val="2"/>
      </rPr>
      <t xml:space="preserve">미래 일자에 루틴을 배치한다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</si>
  <si>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 </t>
    </r>
    <r>
      <rPr>
        <sz val="9"/>
        <rFont val="Malgun Gothic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</si>
  <si>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계획 상태</t>
    </r>
    <r>
      <rPr>
        <sz val="9"/>
        <rFont val="Malgun Gothic"/>
        <family val="0"/>
        <charset val="1"/>
      </rPr>
      <t xml:space="preserve">(PLANNED) </t>
    </r>
    <r>
      <rPr>
        <sz val="9"/>
        <rFont val="Noto Sans CJK SC"/>
        <family val="2"/>
      </rPr>
      <t xml:space="preserve">일지 생성</t>
    </r>
  </si>
  <si>
    <t xml:space="preserve">계획 마커</t>
  </si>
  <si>
    <t xml:space="preserve">FN-CAL-005</t>
  </si>
  <si>
    <t xml:space="preserve">계획 수행 전환</t>
  </si>
  <si>
    <r>
      <rPr>
        <sz val="9"/>
        <rFont val="Noto Sans CJK SC"/>
        <family val="2"/>
      </rPr>
      <t xml:space="preserve">계획된 일지를 수행 상태로 전환한다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</si>
  <si>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상태 </t>
    </r>
    <r>
      <rPr>
        <sz val="9"/>
        <rFont val="Malgun Gothic"/>
        <family val="0"/>
        <charset val="1"/>
      </rPr>
      <t xml:space="preserve">PLANNED→IN_PROGRESS </t>
    </r>
    <r>
      <rPr>
        <sz val="9"/>
        <rFont val="Noto Sans CJK SC"/>
        <family val="2"/>
      </rPr>
      <t xml:space="preserve">전환</t>
    </r>
  </si>
  <si>
    <t xml:space="preserve">수행 화면</t>
  </si>
  <si>
    <t xml:space="preserve">FN-CAL-006</t>
  </si>
  <si>
    <t xml:space="preserve">주간 뷰 조회</t>
  </si>
  <si>
    <r>
      <rPr>
        <sz val="9"/>
        <rFont val="Noto Sans CJK SC"/>
        <family val="2"/>
      </rPr>
      <t xml:space="preserve">주 단위 요약을 조회한다</t>
    </r>
    <r>
      <rPr>
        <sz val="9"/>
        <rFont val="Malgun Gothic"/>
        <family val="0"/>
        <charset val="1"/>
      </rPr>
      <t xml:space="preserve">.</t>
    </r>
  </si>
  <si>
    <t xml:space="preserve">기준 주</t>
  </si>
  <si>
    <t xml:space="preserve">주간 일지 및 볼륨 집계</t>
  </si>
  <si>
    <t xml:space="preserve">주간 요약</t>
  </si>
  <si>
    <t xml:space="preserve">SCR-CAL-002</t>
  </si>
  <si>
    <t xml:space="preserve">FN-CAL-007</t>
  </si>
  <si>
    <t xml:space="preserve">일자 선택 이동</t>
  </si>
  <si>
    <r>
      <rPr>
        <sz val="9"/>
        <rFont val="Noto Sans CJK SC"/>
        <family val="2"/>
      </rPr>
      <t xml:space="preserve">캘린더에서 일자 선택 시 해당 일지로 이동한다</t>
    </r>
    <r>
      <rPr>
        <sz val="9"/>
        <rFont val="Malgun Gothic"/>
        <family val="0"/>
        <charset val="1"/>
      </rPr>
      <t xml:space="preserve">.</t>
    </r>
  </si>
  <si>
    <t xml:space="preserve">선택 일자</t>
  </si>
  <si>
    <r>
      <rPr>
        <sz val="9"/>
        <rFont val="Noto Sans CJK SC"/>
        <family val="2"/>
      </rPr>
      <t xml:space="preserve">일지 존재 시 조회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미존재 시 생성 유도</t>
    </r>
  </si>
  <si>
    <t xml:space="preserve">일지 화면</t>
  </si>
  <si>
    <t xml:space="preserve">스트릭 산출</t>
  </si>
  <si>
    <r>
      <rPr>
        <sz val="9"/>
        <rFont val="Noto Sans CJK SC"/>
        <family val="2"/>
      </rPr>
      <t xml:space="preserve">주간 목표 달성 연속 주차 수와 누적 운동일을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</si>
  <si>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일지 이력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주간 목표 횟수</t>
    </r>
  </si>
  <si>
    <t xml:space="preserve">주 단위 달성 판정 후 연속 카운트</t>
  </si>
  <si>
    <t xml:space="preserve">스트릭 지표</t>
  </si>
  <si>
    <t xml:space="preserve">FN-RPT-001</t>
  </si>
  <si>
    <r>
      <rPr>
        <sz val="9"/>
        <rFont val="Noto Sans CJK SC"/>
        <family val="2"/>
      </rPr>
      <t xml:space="preserve">추정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산출</t>
    </r>
  </si>
  <si>
    <r>
      <rPr>
        <sz val="9"/>
        <rFont val="Noto Sans CJK SC"/>
        <family val="2"/>
      </rPr>
      <t xml:space="preserve">세트의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횟수로 추정 </t>
    </r>
    <r>
      <rPr>
        <sz val="9"/>
        <rFont val="Malgun Gothic"/>
        <family val="0"/>
        <charset val="1"/>
      </rPr>
      <t xml:space="preserve">1RM</t>
    </r>
    <r>
      <rPr>
        <sz val="9"/>
        <rFont val="Noto Sans CJK SC"/>
        <family val="2"/>
      </rPr>
      <t xml:space="preserve">을 계산한다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</si>
  <si>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선택 공식 적용</t>
    </r>
    <r>
      <rPr>
        <sz val="9"/>
        <rFont val="Malgun Gothic"/>
        <family val="0"/>
        <charset val="1"/>
      </rPr>
      <t xml:space="preserve">(Epley: w×(1+r/30))</t>
    </r>
  </si>
  <si>
    <r>
      <rPr>
        <sz val="9"/>
        <rFont val="Noto Sans CJK SC"/>
        <family val="2"/>
      </rPr>
      <t xml:space="preserve">추정 </t>
    </r>
    <r>
      <rPr>
        <sz val="9"/>
        <rFont val="Malgun Gothic"/>
        <family val="0"/>
        <charset val="1"/>
      </rPr>
      <t xml:space="preserve">1RM(kg)</t>
    </r>
  </si>
  <si>
    <t xml:space="preserve">SCR-RPT-002</t>
  </si>
  <si>
    <t xml:space="preserve">FN-RPT-002</t>
  </si>
  <si>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산출 공식 선택</t>
    </r>
  </si>
  <si>
    <r>
      <rPr>
        <sz val="9"/>
        <rFont val="Malgun Gothic"/>
        <family val="0"/>
        <charset val="1"/>
      </rPr>
      <t xml:space="preserve">Epley/Brzycki/Lombardi </t>
    </r>
    <r>
      <rPr>
        <sz val="9"/>
        <rFont val="Noto Sans CJK SC"/>
        <family val="2"/>
      </rPr>
      <t xml:space="preserve">중 공식을 선택한다</t>
    </r>
    <r>
      <rPr>
        <sz val="9"/>
        <rFont val="Malgun Gothic"/>
        <family val="0"/>
        <charset val="1"/>
      </rPr>
      <t xml:space="preserve">.</t>
    </r>
  </si>
  <si>
    <t xml:space="preserve">공식 선택값</t>
  </si>
  <si>
    <t xml:space="preserve">설정 저장 후 전 계산에 반영</t>
  </si>
  <si>
    <t xml:space="preserve">적용 공식</t>
  </si>
  <si>
    <t xml:space="preserve">FN-RPT-003</t>
  </si>
  <si>
    <t xml:space="preserve">추정 신뢰도 표기</t>
  </si>
  <si>
    <r>
      <rPr>
        <sz val="9"/>
        <rFont val="Noto Sans CJK SC"/>
        <family val="2"/>
      </rPr>
      <t xml:space="preserve">반복 횟수 </t>
    </r>
    <r>
      <rPr>
        <sz val="9"/>
        <rFont val="Malgun Gothic"/>
        <family val="0"/>
        <charset val="1"/>
      </rPr>
      <t xml:space="preserve">12</t>
    </r>
    <r>
      <rPr>
        <sz val="9"/>
        <rFont val="Noto Sans CJK SC"/>
        <family val="2"/>
      </rPr>
      <t xml:space="preserve">회 초과 세트의 추정 신뢰도 저하를 표기한다</t>
    </r>
    <r>
      <rPr>
        <sz val="9"/>
        <rFont val="Malgun Gothic"/>
        <family val="0"/>
        <charset val="1"/>
      </rPr>
      <t xml:space="preserve">.</t>
    </r>
  </si>
  <si>
    <t xml:space="preserve">횟수</t>
  </si>
  <si>
    <t xml:space="preserve">임계값 비교</t>
  </si>
  <si>
    <t xml:space="preserve">신뢰도 경고 표시</t>
  </si>
  <si>
    <t xml:space="preserve">FN-RPT-004</t>
  </si>
  <si>
    <r>
      <rPr>
        <sz val="9"/>
        <rFont val="Noto Sans CJK SC"/>
        <family val="2"/>
      </rPr>
      <t xml:space="preserve">세트 강도</t>
    </r>
    <r>
      <rPr>
        <sz val="9"/>
        <rFont val="Malgun Gothic"/>
        <family val="0"/>
        <charset val="1"/>
      </rPr>
      <t xml:space="preserve">(%1RM) </t>
    </r>
    <r>
      <rPr>
        <sz val="9"/>
        <rFont val="Noto Sans CJK SC"/>
        <family val="2"/>
      </rPr>
      <t xml:space="preserve">산출</t>
    </r>
  </si>
  <si>
    <r>
      <rPr>
        <sz val="9"/>
        <rFont val="Noto Sans CJK SC"/>
        <family val="2"/>
      </rPr>
      <t xml:space="preserve">세트 중량을 종목 추정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대비 백분율로 환산한다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</si>
  <si>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 중량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종목 최대 추정</t>
    </r>
    <r>
      <rPr>
        <sz val="9"/>
        <rFont val="Malgun Gothic"/>
        <family val="0"/>
        <charset val="1"/>
      </rPr>
      <t xml:space="preserve">1RM</t>
    </r>
  </si>
  <si>
    <t xml:space="preserve">백분율 계산 후 표시</t>
  </si>
  <si>
    <r>
      <rPr>
        <sz val="9"/>
        <rFont val="Noto Sans CJK SC"/>
        <family val="2"/>
      </rPr>
      <t xml:space="preserve">강도</t>
    </r>
    <r>
      <rPr>
        <sz val="9"/>
        <rFont val="Malgun Gothic"/>
        <family val="0"/>
        <charset val="1"/>
      </rPr>
      <t xml:space="preserve">(%)</t>
    </r>
  </si>
  <si>
    <t xml:space="preserve">FN-RPT-005</t>
  </si>
  <si>
    <t xml:space="preserve">세션 평균 강도 산출</t>
  </si>
  <si>
    <r>
      <rPr>
        <sz val="9"/>
        <rFont val="Noto Sans CJK SC"/>
        <family val="2"/>
      </rPr>
      <t xml:space="preserve">일지 내 정상 세트의 평균 강도를 산출한다</t>
    </r>
    <r>
      <rPr>
        <sz val="9"/>
        <rFont val="Malgun Gothic"/>
        <family val="0"/>
        <charset val="1"/>
      </rPr>
      <t xml:space="preserve">.</t>
    </r>
  </si>
  <si>
    <t xml:space="preserve">세트 강도 목록</t>
  </si>
  <si>
    <t xml:space="preserve">웜업 제외 가중평균</t>
  </si>
  <si>
    <r>
      <rPr>
        <sz val="9"/>
        <rFont val="Noto Sans CJK SC"/>
        <family val="2"/>
      </rPr>
      <t xml:space="preserve">평균 강도</t>
    </r>
    <r>
      <rPr>
        <sz val="9"/>
        <rFont val="Malgun Gothic"/>
        <family val="0"/>
        <charset val="1"/>
      </rPr>
      <t xml:space="preserve">(%)</t>
    </r>
  </si>
  <si>
    <t xml:space="preserve">FN-RPT-006</t>
  </si>
  <si>
    <t xml:space="preserve">강도 구간별 분포</t>
  </si>
  <si>
    <r>
      <rPr>
        <sz val="9"/>
        <rFont val="Noto Sans CJK SC"/>
        <family val="2"/>
      </rPr>
      <t xml:space="preserve">근력</t>
    </r>
    <r>
      <rPr>
        <sz val="9"/>
        <rFont val="Malgun Gothic"/>
        <family val="0"/>
        <charset val="1"/>
      </rPr>
      <t xml:space="preserve">(85%+)/</t>
    </r>
    <r>
      <rPr>
        <sz val="9"/>
        <rFont val="Noto Sans CJK SC"/>
        <family val="2"/>
      </rPr>
      <t xml:space="preserve">근비대</t>
    </r>
    <r>
      <rPr>
        <sz val="9"/>
        <rFont val="Malgun Gothic"/>
        <family val="0"/>
        <charset val="1"/>
      </rPr>
      <t xml:space="preserve">(65~85%)/</t>
    </r>
    <r>
      <rPr>
        <sz val="9"/>
        <rFont val="Noto Sans CJK SC"/>
        <family val="2"/>
      </rPr>
      <t xml:space="preserve">근지속력</t>
    </r>
    <r>
      <rPr>
        <sz val="9"/>
        <rFont val="Malgun Gothic"/>
        <family val="0"/>
        <charset val="1"/>
      </rPr>
      <t xml:space="preserve">(65% </t>
    </r>
    <r>
      <rPr>
        <sz val="9"/>
        <rFont val="Noto Sans CJK SC"/>
        <family val="2"/>
      </rPr>
      <t xml:space="preserve">미만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구간별 세트 분포를 산출한다</t>
    </r>
    <r>
      <rPr>
        <sz val="9"/>
        <rFont val="Malgun Gothic"/>
        <family val="0"/>
        <charset val="1"/>
      </rPr>
      <t xml:space="preserve">.</t>
    </r>
  </si>
  <si>
    <t xml:space="preserve">구간 분류 후 집계</t>
  </si>
  <si>
    <t xml:space="preserve">구간 분포 차트</t>
  </si>
  <si>
    <t xml:space="preserve">SCR-RPT-001</t>
  </si>
  <si>
    <t xml:space="preserve">FN-RPT-007</t>
  </si>
  <si>
    <t xml:space="preserve">종목별 최대중량 추이</t>
  </si>
  <si>
    <r>
      <rPr>
        <sz val="9"/>
        <rFont val="Noto Sans CJK SC"/>
        <family val="2"/>
      </rPr>
      <t xml:space="preserve">종목 단위 기간별 최대 중량 추이를 제공한다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</si>
  <si>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기간</t>
    </r>
  </si>
  <si>
    <r>
      <rPr>
        <sz val="9"/>
        <rFont val="Noto Sans CJK SC"/>
        <family val="2"/>
      </rPr>
      <t xml:space="preserve">기간 내 일자별 </t>
    </r>
    <r>
      <rPr>
        <sz val="9"/>
        <rFont val="Malgun Gothic"/>
        <family val="0"/>
        <charset val="1"/>
      </rPr>
      <t xml:space="preserve">MAX(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집계</t>
    </r>
  </si>
  <si>
    <t xml:space="preserve">선형 차트</t>
  </si>
  <si>
    <t xml:space="preserve">FN-RPT-008</t>
  </si>
  <si>
    <t xml:space="preserve">종목별 볼륨 추이</t>
  </si>
  <si>
    <r>
      <rPr>
        <sz val="9"/>
        <rFont val="Noto Sans CJK SC"/>
        <family val="2"/>
      </rPr>
      <t xml:space="preserve">종목 단위 기간별 총 볼륨 추이를 제공한다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</si>
  <si>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일자별 </t>
    </r>
    <r>
      <rPr>
        <sz val="9"/>
        <rFont val="Malgun Gothic"/>
        <family val="0"/>
        <charset val="1"/>
      </rPr>
      <t xml:space="preserve">Σ(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×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집계</t>
    </r>
  </si>
  <si>
    <t xml:space="preserve">FN-RPT-009</t>
  </si>
  <si>
    <t xml:space="preserve">조회 기간 선택</t>
  </si>
  <si>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/3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/6</t>
    </r>
    <r>
      <rPr>
        <sz val="9"/>
        <rFont val="Noto Sans CJK SC"/>
        <family val="2"/>
      </rPr>
      <t xml:space="preserve">개월</t>
    </r>
    <r>
      <rPr>
        <sz val="9"/>
        <rFont val="Malgun Gothic"/>
        <family val="0"/>
        <charset val="1"/>
      </rPr>
      <t xml:space="preserve">/1</t>
    </r>
    <r>
      <rPr>
        <sz val="9"/>
        <rFont val="Noto Sans CJK SC"/>
        <family val="2"/>
      </rPr>
      <t xml:space="preserve">년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전체 기간을 선택한다</t>
    </r>
    <r>
      <rPr>
        <sz val="9"/>
        <rFont val="Malgun Gothic"/>
        <family val="0"/>
        <charset val="1"/>
      </rPr>
      <t xml:space="preserve">.</t>
    </r>
  </si>
  <si>
    <t xml:space="preserve">기간 선택값</t>
  </si>
  <si>
    <t xml:space="preserve">기간 필터 적용 후 재집계</t>
  </si>
  <si>
    <t xml:space="preserve">기간별 차트</t>
  </si>
  <si>
    <t xml:space="preserve">FN-RPT-010</t>
  </si>
  <si>
    <t xml:space="preserve">주간 리포트 생성</t>
  </si>
  <si>
    <r>
      <rPr>
        <sz val="9"/>
        <rFont val="Noto Sans CJK SC"/>
        <family val="2"/>
      </rPr>
      <t xml:space="preserve">주간 운동 횟수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시간을 집계한다</t>
    </r>
    <r>
      <rPr>
        <sz val="9"/>
        <rFont val="Malgun Gothic"/>
        <family val="0"/>
        <charset val="1"/>
      </rPr>
      <t xml:space="preserve">.</t>
    </r>
  </si>
  <si>
    <t xml:space="preserve">주 단위 집계 쿼리 수행</t>
  </si>
  <si>
    <t xml:space="preserve">주간 리포트</t>
  </si>
  <si>
    <t xml:space="preserve">FN-RPT-011</t>
  </si>
  <si>
    <t xml:space="preserve">월간 리포트 생성</t>
  </si>
  <si>
    <r>
      <rPr>
        <sz val="9"/>
        <rFont val="Noto Sans CJK SC"/>
        <family val="2"/>
      </rPr>
      <t xml:space="preserve">월간 지표를 집계한다</t>
    </r>
    <r>
      <rPr>
        <sz val="9"/>
        <rFont val="Malgun Gothic"/>
        <family val="0"/>
        <charset val="1"/>
      </rPr>
      <t xml:space="preserve">.</t>
    </r>
  </si>
  <si>
    <t xml:space="preserve">월 단위 집계 쿼리 수행</t>
  </si>
  <si>
    <t xml:space="preserve">월간 리포트</t>
  </si>
  <si>
    <t xml:space="preserve">FN-RPT-012</t>
  </si>
  <si>
    <t xml:space="preserve">부위별 빈도 분석</t>
  </si>
  <si>
    <r>
      <rPr>
        <sz val="9"/>
        <rFont val="Noto Sans CJK SC"/>
        <family val="2"/>
      </rPr>
      <t xml:space="preserve">기간 내 부위별 세트 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수행 횟수를 집계한다</t>
    </r>
    <r>
      <rPr>
        <sz val="9"/>
        <rFont val="Malgun Gothic"/>
        <family val="0"/>
        <charset val="1"/>
      </rPr>
      <t xml:space="preserve">.</t>
    </r>
  </si>
  <si>
    <t xml:space="preserve">기간</t>
  </si>
  <si>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부위 조인 후 집계</t>
    </r>
  </si>
  <si>
    <t xml:space="preserve">부위별 분포 차트</t>
  </si>
  <si>
    <t xml:space="preserve">FN-RPT-013</t>
  </si>
  <si>
    <t xml:space="preserve">전기 대비 증감 표시</t>
  </si>
  <si>
    <r>
      <rPr>
        <sz val="9"/>
        <rFont val="Noto Sans CJK SC"/>
        <family val="2"/>
      </rPr>
      <t xml:space="preserve">직전 동일 기간과 지표 증감을 비교 표시한다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</si>
  <si>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현재 기간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직전 기간</t>
    </r>
  </si>
  <si>
    <t xml:space="preserve">지표별 차이 및 증감률 계산</t>
  </si>
  <si>
    <t xml:space="preserve">증감 지표</t>
  </si>
  <si>
    <t xml:space="preserve">FN-RPT-014</t>
  </si>
  <si>
    <r>
      <rPr>
        <sz val="9"/>
        <rFont val="Noto Sans CJK SC"/>
        <family val="2"/>
      </rPr>
      <t xml:space="preserve">밀기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당기기 비율 분석</t>
    </r>
  </si>
  <si>
    <r>
      <rPr>
        <sz val="9"/>
        <rFont val="Noto Sans CJK SC"/>
        <family val="2"/>
      </rPr>
      <t xml:space="preserve">푸시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풀 계열 세트 비율을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</si>
  <si>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기간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종목 동작분류</t>
    </r>
  </si>
  <si>
    <t xml:space="preserve">분류별 세트 집계 후 비율 산출</t>
  </si>
  <si>
    <t xml:space="preserve">비율 지표 및 경고</t>
  </si>
  <si>
    <t xml:space="preserve">SCR-RPT-003</t>
  </si>
  <si>
    <t xml:space="preserve">FN-RPT-015</t>
  </si>
  <si>
    <t xml:space="preserve">상하체 비율 분석</t>
  </si>
  <si>
    <r>
      <rPr>
        <sz val="9"/>
        <rFont val="Noto Sans CJK SC"/>
        <family val="2"/>
      </rPr>
      <t xml:space="preserve">상체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하체 세트 비율을 산출하고 불균형을 알린다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</si>
  <si>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기간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 분류</t>
    </r>
  </si>
  <si>
    <r>
      <rPr>
        <sz val="9"/>
        <rFont val="Noto Sans CJK SC"/>
        <family val="2"/>
      </rPr>
      <t xml:space="preserve">부위 그룹별 집계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임계 비율 초과 시 경고</t>
    </r>
  </si>
  <si>
    <t xml:space="preserve">FN-RPT-016</t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</si>
  <si>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자동 감지</t>
    </r>
  </si>
  <si>
    <r>
      <rPr>
        <sz val="9"/>
        <rFont val="Noto Sans CJK SC"/>
        <family val="2"/>
      </rPr>
      <t xml:space="preserve">세트 저장 시 종목 최고기록 갱신을 판정한다</t>
    </r>
    <r>
      <rPr>
        <sz val="9"/>
        <rFont val="Malgun Gothic"/>
        <family val="0"/>
        <charset val="1"/>
      </rPr>
      <t xml:space="preserve">.</t>
    </r>
  </si>
  <si>
    <t xml:space="preserve">신규 세트 기록</t>
  </si>
  <si>
    <r>
      <rPr>
        <sz val="9"/>
        <rFont val="Noto Sans CJK SC"/>
        <family val="2"/>
      </rPr>
      <t xml:space="preserve">기존 최고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추정</t>
    </r>
    <r>
      <rPr>
        <sz val="9"/>
        <rFont val="Malgun Gothic"/>
        <family val="0"/>
        <charset val="1"/>
      </rPr>
      <t xml:space="preserve">1RM·</t>
    </r>
    <r>
      <rPr>
        <sz val="9"/>
        <rFont val="Noto Sans CJK SC"/>
        <family val="2"/>
      </rPr>
      <t xml:space="preserve">세트볼륨과 비교</t>
    </r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</si>
  <si>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갱신 여부</t>
    </r>
  </si>
  <si>
    <t xml:space="preserve">FN-RPT-017</t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</si>
  <si>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갱신 알림</t>
    </r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</si>
  <si>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갱신 시 사용자에게 즉시 알린다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</si>
  <si>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갱신 이벤트</t>
    </r>
  </si>
  <si>
    <t xml:space="preserve">알림 메시지 생성</t>
  </si>
  <si>
    <r>
      <rPr>
        <sz val="9"/>
        <rFont val="Noto Sans CJK SC"/>
        <family val="2"/>
      </rPr>
      <t xml:space="preserve">토스트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스낵바 알림</t>
    </r>
  </si>
  <si>
    <t xml:space="preserve">FN-RPT-018</t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</si>
  <si>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이력 조회</t>
    </r>
  </si>
  <si>
    <r>
      <rPr>
        <sz val="9"/>
        <rFont val="Noto Sans CJK SC"/>
        <family val="2"/>
      </rPr>
      <t xml:space="preserve">종목별 </t>
    </r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갱신 이력을 목록으로 조회한다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</si>
  <si>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종목 </t>
    </r>
    <r>
      <rPr>
        <sz val="9"/>
        <rFont val="Malgun Gothic"/>
        <family val="0"/>
        <charset val="1"/>
      </rPr>
      <t xml:space="preserve">ID(</t>
    </r>
    <r>
      <rPr>
        <sz val="9"/>
        <rFont val="Noto Sans CJK SC"/>
        <family val="2"/>
      </rPr>
      <t xml:space="preserve">선택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</si>
  <si>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이력 테이블 조회</t>
    </r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</si>
  <si>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이력 목록</t>
    </r>
  </si>
  <si>
    <t xml:space="preserve">SCR-RPT-004</t>
  </si>
  <si>
    <t xml:space="preserve">FN-RPT-019</t>
  </si>
  <si>
    <t xml:space="preserve">메모 통합 검색</t>
  </si>
  <si>
    <r>
      <rPr>
        <sz val="9"/>
        <rFont val="Noto Sans CJK SC"/>
        <family val="2"/>
      </rPr>
      <t xml:space="preserve">일지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세트 메모와 </t>
    </r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노트를 키워드로 검색한다</t>
    </r>
    <r>
      <rPr>
        <sz val="9"/>
        <rFont val="Malgun Gothic"/>
        <family val="0"/>
        <charset val="1"/>
      </rPr>
      <t xml:space="preserve">.</t>
    </r>
  </si>
  <si>
    <t xml:space="preserve">검색 키워드</t>
  </si>
  <si>
    <r>
      <rPr>
        <sz val="9"/>
        <rFont val="Malgun Gothic"/>
        <family val="0"/>
        <charset val="1"/>
      </rPr>
      <t xml:space="preserve">Room FTS4 </t>
    </r>
    <r>
      <rPr>
        <sz val="9"/>
        <rFont val="Noto Sans CJK SC"/>
        <family val="2"/>
      </rPr>
      <t xml:space="preserve">전문 인덱스 조회</t>
    </r>
  </si>
  <si>
    <t xml:space="preserve">SCR-RPT-005</t>
  </si>
  <si>
    <t xml:space="preserve">FN-RPT-020</t>
  </si>
  <si>
    <t xml:space="preserve">검색 결과 원본 이동</t>
  </si>
  <si>
    <r>
      <rPr>
        <sz val="9"/>
        <rFont val="Noto Sans CJK SC"/>
        <family val="2"/>
      </rPr>
      <t xml:space="preserve">검색 결과에서 원본 일지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종목으로 이동한다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</si>
  <si>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결과 항목 </t>
    </r>
    <r>
      <rPr>
        <sz val="9"/>
        <rFont val="Malgun Gothic"/>
        <family val="0"/>
        <charset val="1"/>
      </rPr>
      <t xml:space="preserve">ID</t>
    </r>
  </si>
  <si>
    <t xml:space="preserve">원본 일지 조회 후 해당 위치로 스크롤</t>
  </si>
  <si>
    <t xml:space="preserve">임의 기간 비교</t>
  </si>
  <si>
    <r>
      <rPr>
        <sz val="9"/>
        <rFont val="Noto Sans CJK SC"/>
        <family val="2"/>
      </rPr>
      <t xml:space="preserve">두 기간의 볼륨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강도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빈도를 병렬 비교한다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</si>
  <si>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기간 </t>
    </r>
    <r>
      <rPr>
        <sz val="9"/>
        <rFont val="Malgun Gothic"/>
        <family val="0"/>
        <charset val="1"/>
      </rPr>
      <t xml:space="preserve">A, </t>
    </r>
    <r>
      <rPr>
        <sz val="9"/>
        <rFont val="Noto Sans CJK SC"/>
        <family val="2"/>
      </rPr>
      <t xml:space="preserve">기간 </t>
    </r>
    <r>
      <rPr>
        <sz val="9"/>
        <rFont val="Malgun Gothic"/>
        <family val="0"/>
        <charset val="1"/>
      </rPr>
      <t xml:space="preserve">B</t>
    </r>
  </si>
  <si>
    <t xml:space="preserve">기간별 집계 후 대조 표 생성</t>
  </si>
  <si>
    <t xml:space="preserve">비교 리포트</t>
  </si>
  <si>
    <t xml:space="preserve">SCR-RPT-006</t>
  </si>
  <si>
    <r>
      <rPr>
        <sz val="9"/>
        <rFont val="Noto Sans CJK SC"/>
        <family val="2"/>
      </rPr>
      <t xml:space="preserve">목표 빈도 미달 및 부위 장기 미수행을 감지해 알린다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</si>
  <si>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목표 빈도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 수행 이력</t>
    </r>
  </si>
  <si>
    <t xml:space="preserve">기준일 초과 판정</t>
  </si>
  <si>
    <t xml:space="preserve">알림 및 리포트 표시</t>
  </si>
  <si>
    <t xml:space="preserve">FN-BDY-001</t>
  </si>
  <si>
    <t xml:space="preserve">체성분 기록 입력</t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</si>
  <si>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체지방률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골격근량을 일자별로 입력한다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</si>
  <si>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측정값</t>
    </r>
  </si>
  <si>
    <r>
      <rPr>
        <sz val="9"/>
        <rFont val="Noto Sans CJK SC"/>
        <family val="2"/>
      </rPr>
      <t xml:space="preserve">범위 검증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체중 </t>
    </r>
    <r>
      <rPr>
        <sz val="9"/>
        <rFont val="Malgun Gothic"/>
        <family val="0"/>
        <charset val="1"/>
      </rPr>
      <t xml:space="preserve">20~300kg </t>
    </r>
    <r>
      <rPr>
        <sz val="9"/>
        <rFont val="Noto Sans CJK SC"/>
        <family val="2"/>
      </rPr>
      <t xml:space="preserve">등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후 저장</t>
    </r>
  </si>
  <si>
    <t xml:space="preserve">기록 저장 완료</t>
  </si>
  <si>
    <t xml:space="preserve">SCR-BDY-002</t>
  </si>
  <si>
    <t xml:space="preserve">FN-BDY-002</t>
  </si>
  <si>
    <r>
      <rPr>
        <sz val="9"/>
        <rFont val="Malgun Gothic"/>
        <family val="0"/>
        <charset val="1"/>
      </rPr>
      <t xml:space="preserve">BMI </t>
    </r>
    <r>
      <rPr>
        <sz val="9"/>
        <rFont val="Noto Sans CJK SC"/>
        <family val="2"/>
      </rPr>
      <t xml:space="preserve">자동 산출</t>
    </r>
  </si>
  <si>
    <r>
      <rPr>
        <sz val="9"/>
        <rFont val="Noto Sans CJK SC"/>
        <family val="2"/>
      </rPr>
      <t xml:space="preserve">프로필 신장으로 </t>
    </r>
    <r>
      <rPr>
        <sz val="9"/>
        <rFont val="Malgun Gothic"/>
        <family val="0"/>
        <charset val="1"/>
      </rPr>
      <t xml:space="preserve">BMI</t>
    </r>
    <r>
      <rPr>
        <sz val="9"/>
        <rFont val="Noto Sans CJK SC"/>
        <family val="2"/>
      </rPr>
      <t xml:space="preserve">를 자동 계산한다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</si>
  <si>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신장</t>
    </r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</si>
  <si>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/(</t>
    </r>
    <r>
      <rPr>
        <sz val="9"/>
        <rFont val="Noto Sans CJK SC"/>
        <family val="2"/>
      </rPr>
      <t xml:space="preserve">신장</t>
    </r>
    <r>
      <rPr>
        <sz val="9"/>
        <rFont val="Malgun Gothic"/>
        <family val="0"/>
        <charset val="1"/>
      </rPr>
      <t xml:space="preserve">m)^2 </t>
    </r>
    <r>
      <rPr>
        <sz val="9"/>
        <rFont val="Noto Sans CJK SC"/>
        <family val="2"/>
      </rPr>
      <t xml:space="preserve">계산</t>
    </r>
  </si>
  <si>
    <r>
      <rPr>
        <sz val="9"/>
        <rFont val="Malgun Gothic"/>
        <family val="0"/>
        <charset val="1"/>
      </rPr>
      <t xml:space="preserve">BMI </t>
    </r>
    <r>
      <rPr>
        <sz val="9"/>
        <rFont val="Noto Sans CJK SC"/>
        <family val="2"/>
      </rPr>
      <t xml:space="preserve">값 및 구간</t>
    </r>
  </si>
  <si>
    <t xml:space="preserve">FN-BDY-003</t>
  </si>
  <si>
    <r>
      <rPr>
        <sz val="9"/>
        <rFont val="Noto Sans CJK SC"/>
        <family val="2"/>
      </rPr>
      <t xml:space="preserve">체성분 이력 조회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수정</t>
    </r>
  </si>
  <si>
    <r>
      <rPr>
        <sz val="9"/>
        <rFont val="Noto Sans CJK SC"/>
        <family val="2"/>
      </rPr>
      <t xml:space="preserve">기록된 체성분 이력을 조회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수정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</si>
  <si>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기간 또는 기록 </t>
    </r>
    <r>
      <rPr>
        <sz val="9"/>
        <rFont val="Malgun Gothic"/>
        <family val="0"/>
        <charset val="1"/>
      </rPr>
      <t xml:space="preserve">ID</t>
    </r>
  </si>
  <si>
    <t xml:space="preserve">이력 조회 및 갱신</t>
  </si>
  <si>
    <t xml:space="preserve">체성분 목록</t>
  </si>
  <si>
    <t xml:space="preserve">SCR-BDY-001</t>
  </si>
  <si>
    <r>
      <rPr>
        <sz val="9"/>
        <rFont val="Noto Sans CJK SC"/>
        <family val="2"/>
      </rPr>
      <t xml:space="preserve">부위별 둘레를 일자별로 기록한다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</si>
  <si>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부위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측정값</t>
    </r>
  </si>
  <si>
    <r>
      <rPr>
        <sz val="9"/>
        <rFont val="Noto Sans CJK SC"/>
        <family val="2"/>
      </rPr>
      <t xml:space="preserve">활성 부위만 입력 필드 노출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저장</t>
    </r>
  </si>
  <si>
    <t xml:space="preserve">둘레 기록</t>
  </si>
  <si>
    <t xml:space="preserve">SCR-BDY-003</t>
  </si>
  <si>
    <t xml:space="preserve">FN-BDY-005</t>
  </si>
  <si>
    <t xml:space="preserve">눈바디 사진 등록</t>
  </si>
  <si>
    <r>
      <rPr>
        <sz val="9"/>
        <rFont val="Noto Sans CJK SC"/>
        <family val="2"/>
      </rPr>
      <t xml:space="preserve">정면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측면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후면 사진을 등록한다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</si>
  <si>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이미지 파일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촬영 각도</t>
    </r>
  </si>
  <si>
    <r>
      <rPr>
        <sz val="9"/>
        <rFont val="Noto Sans CJK SC"/>
        <family val="2"/>
      </rPr>
      <t xml:space="preserve">앱 전용 저장소 저장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리사이즈 및 </t>
    </r>
    <r>
      <rPr>
        <sz val="9"/>
        <rFont val="Malgun Gothic"/>
        <family val="0"/>
        <charset val="1"/>
      </rPr>
      <t xml:space="preserve">EXIF </t>
    </r>
    <r>
      <rPr>
        <sz val="9"/>
        <rFont val="Noto Sans CJK SC"/>
        <family val="2"/>
      </rPr>
      <t xml:space="preserve">제거</t>
    </r>
  </si>
  <si>
    <t xml:space="preserve">사진 등록 완료</t>
  </si>
  <si>
    <t xml:space="preserve">SCR-BDY-004</t>
  </si>
  <si>
    <t xml:space="preserve">FN-BDY-006</t>
  </si>
  <si>
    <t xml:space="preserve">사진 비교 뷰</t>
  </si>
  <si>
    <r>
      <rPr>
        <sz val="9"/>
        <rFont val="Noto Sans CJK SC"/>
        <family val="2"/>
      </rPr>
      <t xml:space="preserve">두 시점 사진을 좌우 분할로 비교한다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</si>
  <si>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기준 사진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</si>
  <si>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t xml:space="preserve">동일 각도 매칭 후 병렬 표시</t>
  </si>
  <si>
    <t xml:space="preserve">비교 화면</t>
  </si>
  <si>
    <t xml:space="preserve">SCR-BDY-005</t>
  </si>
  <si>
    <t xml:space="preserve">FN-BDY-007</t>
  </si>
  <si>
    <t xml:space="preserve">사진 삭제</t>
  </si>
  <si>
    <r>
      <rPr>
        <sz val="9"/>
        <rFont val="Noto Sans CJK SC"/>
        <family val="2"/>
      </rPr>
      <t xml:space="preserve">등록한 사진을 삭제한다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</si>
  <si>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사진 </t>
    </r>
    <r>
      <rPr>
        <sz val="9"/>
        <rFont val="Malgun Gothic"/>
        <family val="0"/>
        <charset val="1"/>
      </rPr>
      <t xml:space="preserve">ID</t>
    </r>
  </si>
  <si>
    <t xml:space="preserve">파일 및 메타데이터 삭제</t>
  </si>
  <si>
    <t xml:space="preserve">체성분 추이 차트</t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</si>
  <si>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체지방률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골격근량 추이를 차트로 제공한다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</si>
  <si>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일자별 값 및 </t>
    </r>
    <r>
      <rPr>
        <sz val="9"/>
        <rFont val="Malgun Gothic"/>
        <family val="0"/>
        <charset val="1"/>
      </rPr>
      <t xml:space="preserve">7</t>
    </r>
    <r>
      <rPr>
        <sz val="9"/>
        <rFont val="Noto Sans CJK SC"/>
        <family val="2"/>
      </rPr>
      <t xml:space="preserve">일 이동평균 산출</t>
    </r>
  </si>
  <si>
    <t xml:space="preserve">추이 차트</t>
  </si>
  <si>
    <r>
      <rPr>
        <sz val="9"/>
        <rFont val="Noto Sans CJK SC"/>
        <family val="2"/>
      </rPr>
      <t xml:space="preserve">운동량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체성분 중첩 차트</t>
    </r>
  </si>
  <si>
    <r>
      <rPr>
        <sz val="9"/>
        <rFont val="Noto Sans CJK SC"/>
        <family val="2"/>
      </rPr>
      <t xml:space="preserve">동일 기간 운동 볼륨과 체성분 추이를 중첩 표시한다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</si>
  <si>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이중 </t>
    </r>
    <r>
      <rPr>
        <sz val="9"/>
        <rFont val="Malgun Gothic"/>
        <family val="0"/>
        <charset val="1"/>
      </rPr>
      <t xml:space="preserve">Y</t>
    </r>
    <r>
      <rPr>
        <sz val="9"/>
        <rFont val="Noto Sans CJK SC"/>
        <family val="2"/>
      </rPr>
      <t xml:space="preserve">축 데이터셋 구성</t>
    </r>
  </si>
  <si>
    <t xml:space="preserve">중첩 차트</t>
  </si>
  <si>
    <t xml:space="preserve">신체 목표 관리</t>
  </si>
  <si>
    <r>
      <rPr>
        <sz val="9"/>
        <rFont val="Noto Sans CJK SC"/>
        <family val="2"/>
      </rPr>
      <t xml:space="preserve">목표 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체지방률과 목표일을 설정하고 진행률을 표시한다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</si>
  <si>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목표값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목표일</t>
    </r>
  </si>
  <si>
    <t xml:space="preserve">현재값 대비 달성률 계산</t>
  </si>
  <si>
    <t xml:space="preserve">목표 진행률</t>
  </si>
  <si>
    <t xml:space="preserve">SCR-BDY-006</t>
  </si>
  <si>
    <t xml:space="preserve">FN-DIE-001</t>
  </si>
  <si>
    <t xml:space="preserve">식단 항목 등록</t>
  </si>
  <si>
    <r>
      <rPr>
        <sz val="9"/>
        <rFont val="Noto Sans CJK SC"/>
        <family val="2"/>
      </rPr>
      <t xml:space="preserve">섭취 시각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식사구분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음식을 등록한다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</si>
  <si>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시각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구분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음식 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섭취량</t>
    </r>
  </si>
  <si>
    <t xml:space="preserve">섭취량 비례 영양성분 계산 후 저장</t>
  </si>
  <si>
    <t xml:space="preserve">식단 항목</t>
  </si>
  <si>
    <t xml:space="preserve">SCR-DIE-002</t>
  </si>
  <si>
    <t xml:space="preserve">FN-DIE-002</t>
  </si>
  <si>
    <t xml:space="preserve">식단 타임라인 조회</t>
  </si>
  <si>
    <r>
      <rPr>
        <sz val="9"/>
        <rFont val="Noto Sans CJK SC"/>
        <family val="2"/>
      </rPr>
      <t xml:space="preserve">일자별 식단을 시간순 타임라인으로 조회한다</t>
    </r>
    <r>
      <rPr>
        <sz val="9"/>
        <rFont val="Malgun Gothic"/>
        <family val="0"/>
        <charset val="1"/>
      </rPr>
      <t xml:space="preserve">.</t>
    </r>
  </si>
  <si>
    <t xml:space="preserve">일자</t>
  </si>
  <si>
    <t xml:space="preserve">시각 순 정렬 조회</t>
  </si>
  <si>
    <t xml:space="preserve">타임라인 화면</t>
  </si>
  <si>
    <t xml:space="preserve">SCR-DIE-001</t>
  </si>
  <si>
    <t xml:space="preserve">FN-DIE-003</t>
  </si>
  <si>
    <r>
      <rPr>
        <sz val="9"/>
        <rFont val="Noto Sans CJK SC"/>
        <family val="2"/>
      </rPr>
      <t xml:space="preserve">식단 항목 수정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삭제</t>
    </r>
  </si>
  <si>
    <r>
      <rPr>
        <sz val="9"/>
        <rFont val="Noto Sans CJK SC"/>
        <family val="2"/>
      </rPr>
      <t xml:space="preserve">등록한 식단 항목을 수정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삭제한다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</si>
  <si>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항목 </t>
    </r>
    <r>
      <rPr>
        <sz val="9"/>
        <rFont val="Malgun Gothic"/>
        <family val="0"/>
        <charset val="1"/>
      </rPr>
      <t xml:space="preserve">ID</t>
    </r>
  </si>
  <si>
    <t xml:space="preserve">갱신 또는 삭제 후 일일 집계 재계산</t>
  </si>
  <si>
    <t xml:space="preserve">갱신된 타임라인</t>
  </si>
  <si>
    <t xml:space="preserve">FN-DIE-004</t>
  </si>
  <si>
    <t xml:space="preserve">음식 검색</t>
  </si>
  <si>
    <r>
      <rPr>
        <sz val="9"/>
        <rFont val="Noto Sans CJK SC"/>
        <family val="2"/>
      </rPr>
      <t xml:space="preserve">음식명으로 영양성분 </t>
    </r>
    <r>
      <rPr>
        <sz val="9"/>
        <rFont val="Malgun Gothic"/>
        <family val="0"/>
        <charset val="1"/>
      </rPr>
      <t xml:space="preserve">DB</t>
    </r>
    <r>
      <rPr>
        <sz val="9"/>
        <rFont val="Noto Sans CJK SC"/>
        <family val="2"/>
      </rPr>
      <t xml:space="preserve">를 검색한다</t>
    </r>
    <r>
      <rPr>
        <sz val="9"/>
        <rFont val="Malgun Gothic"/>
        <family val="0"/>
        <charset val="1"/>
      </rPr>
      <t xml:space="preserve">.</t>
    </r>
  </si>
  <si>
    <t xml:space="preserve">로컬 음식 마스터 부분 일치 조회</t>
  </si>
  <si>
    <t xml:space="preserve">음식 목록</t>
  </si>
  <si>
    <t xml:space="preserve">SCR-DIE-003</t>
  </si>
  <si>
    <t xml:space="preserve">FN-DIE-005</t>
  </si>
  <si>
    <t xml:space="preserve">음식 마스터 적재</t>
  </si>
  <si>
    <r>
      <rPr>
        <sz val="9"/>
        <rFont val="Noto Sans CJK SC"/>
        <family val="2"/>
      </rPr>
      <t xml:space="preserve">식약처 공공데이터를 음식 마스터로 적재한다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</si>
  <si>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공공데이터 파일</t>
    </r>
    <r>
      <rPr>
        <sz val="9"/>
        <rFont val="Malgun Gothic"/>
        <family val="0"/>
        <charset val="1"/>
      </rPr>
      <t xml:space="preserve">/API</t>
    </r>
  </si>
  <si>
    <r>
      <rPr>
        <sz val="9"/>
        <rFont val="Noto Sans CJK SC"/>
        <family val="2"/>
      </rPr>
      <t xml:space="preserve">정제 후 로컬 또는 개인 서버 </t>
    </r>
    <r>
      <rPr>
        <sz val="9"/>
        <rFont val="Malgun Gothic"/>
        <family val="0"/>
        <charset val="1"/>
      </rPr>
      <t xml:space="preserve">DB </t>
    </r>
    <r>
      <rPr>
        <sz val="9"/>
        <rFont val="Noto Sans CJK SC"/>
        <family val="2"/>
      </rPr>
      <t xml:space="preserve">적재</t>
    </r>
  </si>
  <si>
    <t xml:space="preserve">음식 마스터 구축</t>
  </si>
  <si>
    <t xml:space="preserve">FN-DIE-006</t>
  </si>
  <si>
    <t xml:space="preserve">사용자 음식 등록</t>
  </si>
  <si>
    <r>
      <rPr>
        <sz val="9"/>
        <rFont val="Noto Sans CJK SC"/>
        <family val="2"/>
      </rPr>
      <t xml:space="preserve">음식명과 </t>
    </r>
    <r>
      <rPr>
        <sz val="9"/>
        <rFont val="Malgun Gothic"/>
        <family val="0"/>
        <charset val="1"/>
      </rPr>
      <t xml:space="preserve">1</t>
    </r>
    <r>
      <rPr>
        <sz val="9"/>
        <rFont val="Noto Sans CJK SC"/>
        <family val="2"/>
      </rPr>
      <t xml:space="preserve">인분 영양성분을 직접 등록한다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</si>
  <si>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음식명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칼로리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탄단지</t>
    </r>
  </si>
  <si>
    <r>
      <rPr>
        <sz val="9"/>
        <rFont val="Noto Sans CJK SC"/>
        <family val="2"/>
      </rPr>
      <t xml:space="preserve">저장</t>
    </r>
    <r>
      <rPr>
        <sz val="9"/>
        <rFont val="Malgun Gothic"/>
        <family val="0"/>
        <charset val="1"/>
      </rPr>
      <t xml:space="preserve">(user_defined=true)</t>
    </r>
  </si>
  <si>
    <t xml:space="preserve">등록된 음식</t>
  </si>
  <si>
    <t xml:space="preserve">SCR-DIE-004</t>
  </si>
  <si>
    <t xml:space="preserve">FN-DIE-007</t>
  </si>
  <si>
    <t xml:space="preserve">식단 세트 저장</t>
  </si>
  <si>
    <r>
      <rPr>
        <sz val="9"/>
        <rFont val="Noto Sans CJK SC"/>
        <family val="2"/>
      </rPr>
      <t xml:space="preserve">복수 음식 묶음을 나만의 식단 세트로 저장한다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</si>
  <si>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음식 항목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세트명</t>
    </r>
  </si>
  <si>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음식 매핑 저장</t>
    </r>
  </si>
  <si>
    <t xml:space="preserve">식단 세트</t>
  </si>
  <si>
    <t xml:space="preserve">FN-DIE-008</t>
  </si>
  <si>
    <t xml:space="preserve">일일 칼로리 집계</t>
  </si>
  <si>
    <r>
      <rPr>
        <sz val="9"/>
        <rFont val="Noto Sans CJK SC"/>
        <family val="2"/>
      </rPr>
      <t xml:space="preserve">일일 총 섭취 칼로리를 집계한다</t>
    </r>
    <r>
      <rPr>
        <sz val="9"/>
        <rFont val="Malgun Gothic"/>
        <family val="0"/>
        <charset val="1"/>
      </rPr>
      <t xml:space="preserve">.</t>
    </r>
  </si>
  <si>
    <t xml:space="preserve">일자 식단 항목</t>
  </si>
  <si>
    <t xml:space="preserve">칼로리 합계 산출</t>
  </si>
  <si>
    <t xml:space="preserve">일일 칼로리</t>
  </si>
  <si>
    <t xml:space="preserve">FN-DIE-009</t>
  </si>
  <si>
    <t xml:space="preserve">매크로 집계 및 달성률</t>
  </si>
  <si>
    <r>
      <rPr>
        <sz val="9"/>
        <rFont val="Noto Sans CJK SC"/>
        <family val="2"/>
      </rPr>
      <t xml:space="preserve">탄단지 섭취량과 목표 대비 달성률을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</si>
  <si>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일자 식단 항목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목표값</t>
    </r>
  </si>
  <si>
    <t xml:space="preserve">영양소별 합계 및 백분율 계산</t>
  </si>
  <si>
    <t xml:space="preserve">매크로 링 차트</t>
  </si>
  <si>
    <t xml:space="preserve">영양 목표 설정</t>
  </si>
  <si>
    <r>
      <rPr>
        <sz val="9"/>
        <rFont val="Noto Sans CJK SC"/>
        <family val="2"/>
      </rPr>
      <t xml:space="preserve">목표 칼로리와 탄단지 비율을 설정한다</t>
    </r>
    <r>
      <rPr>
        <sz val="9"/>
        <rFont val="Malgun Gothic"/>
        <family val="0"/>
        <charset val="1"/>
      </rPr>
      <t xml:space="preserve">.</t>
    </r>
  </si>
  <si>
    <t xml:space="preserve">목표값 또는 자동 제안 채택</t>
  </si>
  <si>
    <r>
      <rPr>
        <sz val="9"/>
        <rFont val="Noto Sans CJK SC"/>
        <family val="2"/>
      </rPr>
      <t xml:space="preserve">프로필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활동량 기반 권장값 계산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저장</t>
    </r>
  </si>
  <si>
    <t xml:space="preserve">목표값 저장</t>
  </si>
  <si>
    <t xml:space="preserve">SCR-DIE-005</t>
  </si>
  <si>
    <t xml:space="preserve">자주 먹는 음식 제공</t>
  </si>
  <si>
    <r>
      <rPr>
        <sz val="9"/>
        <rFont val="Noto Sans CJK SC"/>
        <family val="2"/>
      </rPr>
      <t xml:space="preserve">즐겨찾기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최근 섭취 음식을 목록으로 제공한다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</si>
  <si>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섭취 빈도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최근순 조회</t>
    </r>
  </si>
  <si>
    <t xml:space="preserve">빠른 추가 목록</t>
  </si>
  <si>
    <t xml:space="preserve">식단 사진 첨부</t>
  </si>
  <si>
    <r>
      <rPr>
        <sz val="9"/>
        <rFont val="Noto Sans CJK SC"/>
        <family val="2"/>
      </rPr>
      <t xml:space="preserve">식사 사진을 첨부해 간편 기록한다</t>
    </r>
    <r>
      <rPr>
        <sz val="9"/>
        <rFont val="Malgun Gothic"/>
        <family val="0"/>
        <charset val="1"/>
      </rPr>
      <t xml:space="preserve">.</t>
    </r>
  </si>
  <si>
    <t xml:space="preserve">이미지 파일</t>
  </si>
  <si>
    <t xml:space="preserve">앱 전용 저장소 저장 및 항목 연결</t>
  </si>
  <si>
    <t xml:space="preserve">사진 첨부된 항목</t>
  </si>
  <si>
    <t xml:space="preserve">FN-TOL-001</t>
  </si>
  <si>
    <t xml:space="preserve">휴식 타이머 시작</t>
  </si>
  <si>
    <r>
      <rPr>
        <sz val="9"/>
        <rFont val="Noto Sans CJK SC"/>
        <family val="2"/>
      </rPr>
      <t xml:space="preserve">세트 완료 시 휴식 타이머를 자동 시작한다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</si>
  <si>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세트 완료 이벤트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휴식시간</t>
    </r>
  </si>
  <si>
    <r>
      <rPr>
        <sz val="9"/>
        <rFont val="Malgun Gothic"/>
        <family val="0"/>
        <charset val="1"/>
      </rPr>
      <t xml:space="preserve">Foreground Service </t>
    </r>
    <r>
      <rPr>
        <sz val="9"/>
        <rFont val="Noto Sans CJK SC"/>
        <family val="2"/>
      </rPr>
      <t xml:space="preserve">기반 카운트다운 시작</t>
    </r>
  </si>
  <si>
    <t xml:space="preserve">타이머 표시</t>
  </si>
  <si>
    <t xml:space="preserve">FN-TOL-002</t>
  </si>
  <si>
    <t xml:space="preserve">휴식시간 기본값 설정</t>
  </si>
  <si>
    <r>
      <rPr>
        <sz val="9"/>
        <rFont val="Noto Sans CJK SC"/>
        <family val="2"/>
      </rPr>
      <t xml:space="preserve">종목별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전역 기본 휴식시간을 설정한다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</si>
  <si>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휴식시간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초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</si>
  <si>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종목 설정 우선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미설정 시 전역값 적용</t>
    </r>
  </si>
  <si>
    <t xml:space="preserve">적용 휴식시간</t>
  </si>
  <si>
    <t xml:space="preserve">FN-TOL-003</t>
  </si>
  <si>
    <t xml:space="preserve">타이머 제어</t>
  </si>
  <si>
    <r>
      <rPr>
        <sz val="9"/>
        <rFont val="Noto Sans CJK SC"/>
        <family val="2"/>
      </rPr>
      <t xml:space="preserve">타이머를 일시정지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재개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건너뛰기</t>
    </r>
    <r>
      <rPr>
        <sz val="9"/>
        <rFont val="Malgun Gothic"/>
        <family val="0"/>
        <charset val="1"/>
      </rPr>
      <t xml:space="preserve">·±15</t>
    </r>
    <r>
      <rPr>
        <sz val="9"/>
        <rFont val="Noto Sans CJK SC"/>
        <family val="2"/>
      </rPr>
      <t xml:space="preserve">초 조정한다</t>
    </r>
    <r>
      <rPr>
        <sz val="9"/>
        <rFont val="Malgun Gothic"/>
        <family val="0"/>
        <charset val="1"/>
      </rPr>
      <t xml:space="preserve">.</t>
    </r>
  </si>
  <si>
    <t xml:space="preserve">제어 명령</t>
  </si>
  <si>
    <t xml:space="preserve">타이머 상태 전이 처리</t>
  </si>
  <si>
    <t xml:space="preserve">갱신된 잔여시간</t>
  </si>
  <si>
    <t xml:space="preserve">FN-TOL-004</t>
  </si>
  <si>
    <t xml:space="preserve">백그라운드 동작</t>
  </si>
  <si>
    <r>
      <rPr>
        <sz val="9"/>
        <rFont val="Noto Sans CJK SC"/>
        <family val="2"/>
      </rPr>
      <t xml:space="preserve">앱 백그라운드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화면잠금 상태에서도 타이머를 유지한다</t>
    </r>
    <r>
      <rPr>
        <sz val="9"/>
        <rFont val="Malgun Gothic"/>
        <family val="0"/>
        <charset val="1"/>
      </rPr>
      <t xml:space="preserve">.</t>
    </r>
  </si>
  <si>
    <t xml:space="preserve">타이머 실행 상태</t>
  </si>
  <si>
    <r>
      <rPr>
        <sz val="9"/>
        <rFont val="Malgun Gothic"/>
        <family val="0"/>
        <charset val="1"/>
      </rPr>
      <t xml:space="preserve">Foreground Service + </t>
    </r>
    <r>
      <rPr>
        <sz val="9"/>
        <rFont val="Noto Sans CJK SC"/>
        <family val="2"/>
      </rPr>
      <t xml:space="preserve">알림 채널 유지</t>
    </r>
  </si>
  <si>
    <t xml:space="preserve">잠금화면 타이머 알림</t>
  </si>
  <si>
    <t xml:space="preserve">FN-TOL-005</t>
  </si>
  <si>
    <t xml:space="preserve">타이머 종료 알림</t>
  </si>
  <si>
    <r>
      <rPr>
        <sz val="9"/>
        <rFont val="Noto Sans CJK SC"/>
        <family val="2"/>
      </rPr>
      <t xml:space="preserve">휴식 종료 시 진동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알림으로 통지한다</t>
    </r>
    <r>
      <rPr>
        <sz val="9"/>
        <rFont val="Malgun Gothic"/>
        <family val="0"/>
        <charset val="1"/>
      </rPr>
      <t xml:space="preserve">.</t>
    </r>
  </si>
  <si>
    <t xml:space="preserve">타이머 종료 이벤트</t>
  </si>
  <si>
    <t xml:space="preserve">설정된 알림 방식 실행</t>
  </si>
  <si>
    <t xml:space="preserve">알림 발생</t>
  </si>
  <si>
    <t xml:space="preserve">FN-TOL-006</t>
  </si>
  <si>
    <t xml:space="preserve">인터벌 타이머 실행</t>
  </si>
  <si>
    <r>
      <rPr>
        <sz val="9"/>
        <rFont val="Noto Sans CJK SC"/>
        <family val="2"/>
      </rPr>
      <t xml:space="preserve">운동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휴식 구간과 라운드를 반복 실행한다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</si>
  <si>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운동시간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휴식시간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라운드 수</t>
    </r>
  </si>
  <si>
    <r>
      <rPr>
        <sz val="9"/>
        <rFont val="Noto Sans CJK SC"/>
        <family val="2"/>
      </rPr>
      <t xml:space="preserve">구간 순환 카운트다운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구간 전환 시 알림</t>
    </r>
  </si>
  <si>
    <t xml:space="preserve">인터벌 진행 화면</t>
  </si>
  <si>
    <t xml:space="preserve">SCR-TOL-002</t>
  </si>
  <si>
    <t xml:space="preserve">FN-TOL-007</t>
  </si>
  <si>
    <t xml:space="preserve">인터벌 프리셋 관리</t>
  </si>
  <si>
    <r>
      <rPr>
        <sz val="9"/>
        <rFont val="Noto Sans CJK SC"/>
        <family val="2"/>
      </rPr>
      <t xml:space="preserve">타바타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서킷 등 프리셋을 저장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불러온다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</si>
  <si>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프리셋명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파라미터</t>
    </r>
  </si>
  <si>
    <r>
      <rPr>
        <sz val="9"/>
        <rFont val="Noto Sans CJK SC"/>
        <family val="2"/>
      </rPr>
      <t xml:space="preserve">프리셋 </t>
    </r>
    <r>
      <rPr>
        <sz val="9"/>
        <rFont val="Malgun Gothic"/>
        <family val="0"/>
        <charset val="1"/>
      </rPr>
      <t xml:space="preserve">CRUD</t>
    </r>
  </si>
  <si>
    <t xml:space="preserve">FN-TOL-008</t>
  </si>
  <si>
    <t xml:space="preserve">원판 조합 산출</t>
  </si>
  <si>
    <r>
      <rPr>
        <sz val="9"/>
        <rFont val="Noto Sans CJK SC"/>
        <family val="2"/>
      </rPr>
      <t xml:space="preserve">목표 중량에 필요한 한쪽 원판 조합을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</si>
  <si>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목표 중량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바 무게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보유 원판</t>
    </r>
  </si>
  <si>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목표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바</t>
    </r>
    <r>
      <rPr>
        <sz val="9"/>
        <rFont val="Malgun Gothic"/>
        <family val="0"/>
        <charset val="1"/>
      </rPr>
      <t xml:space="preserve">)/2</t>
    </r>
    <r>
      <rPr>
        <sz val="9"/>
        <rFont val="Noto Sans CJK SC"/>
        <family val="2"/>
      </rPr>
      <t xml:space="preserve">를 큰 원판 우선 그리디 분해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불가 시 근사값 제시</t>
    </r>
  </si>
  <si>
    <t xml:space="preserve">원판 조합 및 실제 중량</t>
  </si>
  <si>
    <t xml:space="preserve">SCR-TOL-001</t>
  </si>
  <si>
    <t xml:space="preserve">FN-TOL-009</t>
  </si>
  <si>
    <t xml:space="preserve">보유 원판 등록</t>
  </si>
  <si>
    <r>
      <rPr>
        <sz val="9"/>
        <rFont val="Noto Sans CJK SC"/>
        <family val="2"/>
      </rPr>
      <t xml:space="preserve">보유 원판 규격과 수량을 등록한다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</si>
  <si>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원판 무게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수량</t>
    </r>
  </si>
  <si>
    <t xml:space="preserve">보유 장비 설정 저장</t>
  </si>
  <si>
    <t xml:space="preserve">원판 목록</t>
  </si>
  <si>
    <r>
      <rPr>
        <sz val="9"/>
        <rFont val="Noto Sans CJK SC"/>
        <family val="2"/>
      </rPr>
      <t xml:space="preserve">임의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횟수로 추정 </t>
    </r>
    <r>
      <rPr>
        <sz val="9"/>
        <rFont val="Malgun Gothic"/>
        <family val="0"/>
        <charset val="1"/>
      </rPr>
      <t xml:space="preserve">1RM</t>
    </r>
    <r>
      <rPr>
        <sz val="9"/>
        <rFont val="Noto Sans CJK SC"/>
        <family val="2"/>
      </rPr>
      <t xml:space="preserve">과 강도별 목표표를 산출한다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</si>
  <si>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산출 후 </t>
    </r>
    <r>
      <rPr>
        <sz val="9"/>
        <rFont val="Malgun Gothic"/>
        <family val="0"/>
        <charset val="1"/>
      </rPr>
      <t xml:space="preserve">50~100% </t>
    </r>
    <r>
      <rPr>
        <sz val="9"/>
        <rFont val="Noto Sans CJK SC"/>
        <family val="2"/>
      </rPr>
      <t xml:space="preserve">구간 환산표 생성</t>
    </r>
  </si>
  <si>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및 강도표</t>
    </r>
  </si>
  <si>
    <t xml:space="preserve">SCR-TOL-003</t>
  </si>
  <si>
    <t xml:space="preserve">FN-TOL-011</t>
  </si>
  <si>
    <t xml:space="preserve">운동 알림 설정</t>
  </si>
  <si>
    <r>
      <rPr>
        <sz val="9"/>
        <rFont val="Noto Sans CJK SC"/>
        <family val="2"/>
      </rPr>
      <t xml:space="preserve">요일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시간 기반 운동 알림을 설정한다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</si>
  <si>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요일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시간</t>
    </r>
  </si>
  <si>
    <r>
      <rPr>
        <sz val="9"/>
        <rFont val="Malgun Gothic"/>
        <family val="0"/>
        <charset val="1"/>
      </rPr>
      <t xml:space="preserve">AlarmManager/WorkManager </t>
    </r>
    <r>
      <rPr>
        <sz val="9"/>
        <rFont val="Noto Sans CJK SC"/>
        <family val="2"/>
      </rPr>
      <t xml:space="preserve">스케줄 등록</t>
    </r>
  </si>
  <si>
    <t xml:space="preserve">알림 예약</t>
  </si>
  <si>
    <t xml:space="preserve">FN-TOL-012</t>
  </si>
  <si>
    <t xml:space="preserve">미기록 리마인더</t>
  </si>
  <si>
    <r>
      <rPr>
        <sz val="9"/>
        <rFont val="Noto Sans CJK SC"/>
        <family val="2"/>
      </rPr>
      <t xml:space="preserve">기록이 없는 운동 예정일에 리마인더를 발송한다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</si>
  <si>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계획 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기록 유무</t>
    </r>
  </si>
  <si>
    <t xml:space="preserve">조건 판정 후 알림 발송</t>
  </si>
  <si>
    <t xml:space="preserve">리마인더 알림</t>
  </si>
  <si>
    <t xml:space="preserve">FN-TOL-013</t>
  </si>
  <si>
    <t xml:space="preserve">워치 세트 완료 처리</t>
  </si>
  <si>
    <r>
      <rPr>
        <sz val="9"/>
        <rFont val="Noto Sans CJK SC"/>
        <family val="2"/>
      </rPr>
      <t xml:space="preserve">워치에서 세트 완료를 체크한다</t>
    </r>
    <r>
      <rPr>
        <sz val="9"/>
        <rFont val="Malgun Gothic"/>
        <family val="0"/>
        <charset val="1"/>
      </rPr>
      <t xml:space="preserve">.</t>
    </r>
  </si>
  <si>
    <t xml:space="preserve">워치 입력</t>
  </si>
  <si>
    <r>
      <rPr>
        <sz val="9"/>
        <rFont val="Malgun Gothic"/>
        <family val="0"/>
        <charset val="1"/>
      </rPr>
      <t xml:space="preserve">Data Layer API</t>
    </r>
    <r>
      <rPr>
        <sz val="9"/>
        <rFont val="Noto Sans CJK SC"/>
        <family val="2"/>
      </rPr>
      <t xml:space="preserve">로 폰과 상태 동기화</t>
    </r>
  </si>
  <si>
    <t xml:space="preserve">세트 완료 반영</t>
  </si>
  <si>
    <t xml:space="preserve">SCR-TOL-004</t>
  </si>
  <si>
    <t xml:space="preserve">FN-TOL-014</t>
  </si>
  <si>
    <t xml:space="preserve">워치 타이머 표시</t>
  </si>
  <si>
    <r>
      <rPr>
        <sz val="9"/>
        <rFont val="Noto Sans CJK SC"/>
        <family val="2"/>
      </rPr>
      <t xml:space="preserve">워치에서 휴식 타이머 잔여시간을 표시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제어한다</t>
    </r>
    <r>
      <rPr>
        <sz val="9"/>
        <rFont val="Malgun Gothic"/>
        <family val="0"/>
        <charset val="1"/>
      </rPr>
      <t xml:space="preserve">.</t>
    </r>
  </si>
  <si>
    <t xml:space="preserve">타이머 상태</t>
  </si>
  <si>
    <r>
      <rPr>
        <sz val="9"/>
        <rFont val="Noto Sans CJK SC"/>
        <family val="2"/>
      </rPr>
      <t xml:space="preserve">워치 </t>
    </r>
    <r>
      <rPr>
        <sz val="9"/>
        <rFont val="Malgun Gothic"/>
        <family val="0"/>
        <charset val="1"/>
      </rPr>
      <t xml:space="preserve">UI </t>
    </r>
    <r>
      <rPr>
        <sz val="9"/>
        <rFont val="Noto Sans CJK SC"/>
        <family val="2"/>
      </rPr>
      <t xml:space="preserve">갱신 및 햅틱 알림</t>
    </r>
  </si>
  <si>
    <t xml:space="preserve">워치 타이머</t>
  </si>
  <si>
    <t xml:space="preserve">FN-TOL-015</t>
  </si>
  <si>
    <t xml:space="preserve">워치 루틴 조회</t>
  </si>
  <si>
    <r>
      <rPr>
        <sz val="9"/>
        <rFont val="Noto Sans CJK SC"/>
        <family val="2"/>
      </rPr>
      <t xml:space="preserve">워치에서 당일 루틴 종목 목록을 조회한다</t>
    </r>
    <r>
      <rPr>
        <sz val="9"/>
        <rFont val="Malgun Gothic"/>
        <family val="0"/>
        <charset val="1"/>
      </rPr>
      <t xml:space="preserve">.</t>
    </r>
  </si>
  <si>
    <t xml:space="preserve">폰에서 루틴 데이터 전송</t>
  </si>
  <si>
    <t xml:space="preserve">워치 종목 목록</t>
  </si>
  <si>
    <t xml:space="preserve">FN-TOL-016</t>
  </si>
  <si>
    <r>
      <rPr>
        <sz val="9"/>
        <rFont val="Malgun Gothic"/>
        <family val="0"/>
        <charset val="1"/>
      </rPr>
      <t xml:space="preserve">Health Connect </t>
    </r>
    <r>
      <rPr>
        <sz val="9"/>
        <rFont val="Noto Sans CJK SC"/>
        <family val="2"/>
      </rPr>
      <t xml:space="preserve">쓰기</t>
    </r>
  </si>
  <si>
    <r>
      <rPr>
        <sz val="9"/>
        <rFont val="Noto Sans CJK SC"/>
        <family val="2"/>
      </rPr>
      <t xml:space="preserve">운동 세션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소모칼로리를 </t>
    </r>
    <r>
      <rPr>
        <sz val="9"/>
        <rFont val="Malgun Gothic"/>
        <family val="0"/>
        <charset val="1"/>
      </rPr>
      <t xml:space="preserve">Health Connect</t>
    </r>
    <r>
      <rPr>
        <sz val="9"/>
        <rFont val="Noto Sans CJK SC"/>
        <family val="2"/>
      </rPr>
      <t xml:space="preserve">에 기록한다</t>
    </r>
    <r>
      <rPr>
        <sz val="9"/>
        <rFont val="Malgun Gothic"/>
        <family val="0"/>
        <charset val="1"/>
      </rPr>
      <t xml:space="preserve">.</t>
    </r>
  </si>
  <si>
    <t xml:space="preserve">세션 요약</t>
  </si>
  <si>
    <r>
      <rPr>
        <sz val="9"/>
        <rFont val="Noto Sans CJK SC"/>
        <family val="2"/>
      </rPr>
      <t xml:space="preserve">권한 확인 후 </t>
    </r>
    <r>
      <rPr>
        <sz val="9"/>
        <rFont val="Malgun Gothic"/>
        <family val="0"/>
        <charset val="1"/>
      </rPr>
      <t xml:space="preserve">ExerciseSession </t>
    </r>
    <r>
      <rPr>
        <sz val="9"/>
        <rFont val="Noto Sans CJK SC"/>
        <family val="2"/>
      </rPr>
      <t xml:space="preserve">레코드 삽입</t>
    </r>
  </si>
  <si>
    <t xml:space="preserve">외부 앱 공유 데이터</t>
  </si>
  <si>
    <t xml:space="preserve">FN-TOL-017</t>
  </si>
  <si>
    <r>
      <rPr>
        <sz val="9"/>
        <rFont val="Malgun Gothic"/>
        <family val="0"/>
        <charset val="1"/>
      </rPr>
      <t xml:space="preserve">Health Connect </t>
    </r>
    <r>
      <rPr>
        <sz val="9"/>
        <rFont val="Noto Sans CJK SC"/>
        <family val="2"/>
      </rPr>
      <t xml:space="preserve">읽기</t>
    </r>
  </si>
  <si>
    <r>
      <rPr>
        <sz val="9"/>
        <rFont val="Noto Sans CJK SC"/>
        <family val="2"/>
      </rPr>
      <t xml:space="preserve">체중 등 외부 앱 기록을 읽어 반영한다</t>
    </r>
    <r>
      <rPr>
        <sz val="9"/>
        <rFont val="Malgun Gothic"/>
        <family val="0"/>
        <charset val="1"/>
      </rPr>
      <t xml:space="preserve">.</t>
    </r>
  </si>
  <si>
    <t xml:space="preserve">조회 기간</t>
  </si>
  <si>
    <t xml:space="preserve">권한 확인 후 레코드 조회 및 중복 병합</t>
  </si>
  <si>
    <t xml:space="preserve">체성분 기록 반영</t>
  </si>
  <si>
    <r>
      <rPr>
        <sz val="9"/>
        <rFont val="Noto Sans CJK SC"/>
        <family val="2"/>
      </rPr>
      <t xml:space="preserve">로컬 </t>
    </r>
    <r>
      <rPr>
        <sz val="9"/>
        <rFont val="Malgun Gothic"/>
        <family val="0"/>
        <charset val="1"/>
      </rPr>
      <t xml:space="preserve">DB </t>
    </r>
    <r>
      <rPr>
        <sz val="9"/>
        <rFont val="Noto Sans CJK SC"/>
        <family val="2"/>
      </rPr>
      <t xml:space="preserve">관리</t>
    </r>
  </si>
  <si>
    <r>
      <rPr>
        <sz val="9"/>
        <rFont val="Malgun Gothic"/>
        <family val="0"/>
        <charset val="1"/>
      </rPr>
      <t xml:space="preserve">Room </t>
    </r>
    <r>
      <rPr>
        <sz val="9"/>
        <rFont val="Noto Sans CJK SC"/>
        <family val="2"/>
      </rPr>
      <t xml:space="preserve">기반 로컬 </t>
    </r>
    <r>
      <rPr>
        <sz val="9"/>
        <rFont val="Malgun Gothic"/>
        <family val="0"/>
        <charset val="1"/>
      </rPr>
      <t xml:space="preserve">DB</t>
    </r>
    <r>
      <rPr>
        <sz val="9"/>
        <rFont val="Noto Sans CJK SC"/>
        <family val="2"/>
      </rPr>
      <t xml:space="preserve">로 전 데이터를 저장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조회한다</t>
    </r>
    <r>
      <rPr>
        <sz val="9"/>
        <rFont val="Malgun Gothic"/>
        <family val="0"/>
        <charset val="1"/>
      </rPr>
      <t xml:space="preserve">.</t>
    </r>
  </si>
  <si>
    <t xml:space="preserve">엔티티 데이터</t>
  </si>
  <si>
    <r>
      <rPr>
        <sz val="9"/>
        <rFont val="Noto Sans CJK SC"/>
        <family val="2"/>
      </rPr>
      <t xml:space="preserve">트랜잭션 처리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인덱스 기반 조회</t>
    </r>
  </si>
  <si>
    <r>
      <rPr>
        <sz val="9"/>
        <rFont val="Noto Sans CJK SC"/>
        <family val="2"/>
      </rPr>
      <t xml:space="preserve">저장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조회 결과</t>
    </r>
  </si>
  <si>
    <t xml:space="preserve">FN-DAT-002</t>
  </si>
  <si>
    <t xml:space="preserve">변경분 업로드</t>
  </si>
  <si>
    <r>
      <rPr>
        <sz val="9"/>
        <rFont val="Noto Sans CJK SC"/>
        <family val="2"/>
      </rPr>
      <t xml:space="preserve">로컬 변경분을 개인 서버로 업로드한다</t>
    </r>
    <r>
      <rPr>
        <sz val="9"/>
        <rFont val="Malgun Gothic"/>
        <family val="0"/>
        <charset val="1"/>
      </rPr>
      <t xml:space="preserve">.</t>
    </r>
  </si>
  <si>
    <t xml:space="preserve">미동기화 레코드</t>
  </si>
  <si>
    <r>
      <rPr>
        <sz val="9"/>
        <rFont val="Malgun Gothic"/>
        <family val="0"/>
        <charset val="1"/>
      </rPr>
      <t xml:space="preserve">updated_at </t>
    </r>
    <r>
      <rPr>
        <sz val="9"/>
        <rFont val="Noto Sans CJK SC"/>
        <family val="2"/>
      </rPr>
      <t xml:space="preserve">기준 델타 추출 후 배치 전송</t>
    </r>
  </si>
  <si>
    <t xml:space="preserve">동기화 완료 시각</t>
  </si>
  <si>
    <t xml:space="preserve">FN-DAT-003</t>
  </si>
  <si>
    <t xml:space="preserve">변경분 다운로드</t>
  </si>
  <si>
    <r>
      <rPr>
        <sz val="9"/>
        <rFont val="Noto Sans CJK SC"/>
        <family val="2"/>
      </rPr>
      <t xml:space="preserve">서버 변경분을 로컬에 반영한다</t>
    </r>
    <r>
      <rPr>
        <sz val="9"/>
        <rFont val="Malgun Gothic"/>
        <family val="0"/>
        <charset val="1"/>
      </rPr>
      <t xml:space="preserve">.</t>
    </r>
  </si>
  <si>
    <t xml:space="preserve">마지막 동기화 시각</t>
  </si>
  <si>
    <r>
      <rPr>
        <sz val="9"/>
        <rFont val="Noto Sans CJK SC"/>
        <family val="2"/>
      </rPr>
      <t xml:space="preserve">서버 델타 조회 후 </t>
    </r>
    <r>
      <rPr>
        <sz val="9"/>
        <rFont val="Malgun Gothic"/>
        <family val="0"/>
        <charset val="1"/>
      </rPr>
      <t xml:space="preserve">upsert</t>
    </r>
  </si>
  <si>
    <t xml:space="preserve">로컬 데이터 갱신</t>
  </si>
  <si>
    <t xml:space="preserve">FN-DAT-004</t>
  </si>
  <si>
    <t xml:space="preserve">충돌 해소</t>
  </si>
  <si>
    <r>
      <rPr>
        <sz val="9"/>
        <rFont val="Noto Sans CJK SC"/>
        <family val="2"/>
      </rPr>
      <t xml:space="preserve">동일 레코드 동시 변경 시 충돌을 해소한다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</si>
  <si>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로컬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서버 레코드</t>
    </r>
  </si>
  <si>
    <r>
      <rPr>
        <sz val="9"/>
        <rFont val="Malgun Gothic"/>
        <family val="0"/>
        <charset val="1"/>
      </rPr>
      <t xml:space="preserve">updated_at </t>
    </r>
    <r>
      <rPr>
        <sz val="9"/>
        <rFont val="Noto Sans CJK SC"/>
        <family val="2"/>
      </rPr>
      <t xml:space="preserve">비교 후 </t>
    </r>
    <r>
      <rPr>
        <sz val="9"/>
        <rFont val="Malgun Gothic"/>
        <family val="0"/>
        <charset val="1"/>
      </rPr>
      <t xml:space="preserve">Last-Write-Wins </t>
    </r>
    <r>
      <rPr>
        <sz val="9"/>
        <rFont val="Noto Sans CJK SC"/>
        <family val="2"/>
      </rPr>
      <t xml:space="preserve">적용</t>
    </r>
  </si>
  <si>
    <t xml:space="preserve">확정 레코드</t>
  </si>
  <si>
    <t xml:space="preserve">FN-DAT-005</t>
  </si>
  <si>
    <t xml:space="preserve">자동 동기화 스케줄</t>
  </si>
  <si>
    <r>
      <rPr>
        <sz val="9"/>
        <rFont val="Noto Sans CJK SC"/>
        <family val="2"/>
      </rPr>
      <t xml:space="preserve">네트워크 연결 시 백그라운드로 동기화를 수행한다</t>
    </r>
    <r>
      <rPr>
        <sz val="9"/>
        <rFont val="Malgun Gothic"/>
        <family val="0"/>
        <charset val="1"/>
      </rPr>
      <t xml:space="preserve">.</t>
    </r>
  </si>
  <si>
    <t xml:space="preserve">네트워크 상태</t>
  </si>
  <si>
    <r>
      <rPr>
        <sz val="9"/>
        <rFont val="Malgun Gothic"/>
        <family val="0"/>
        <charset val="1"/>
      </rPr>
      <t xml:space="preserve">WorkManager </t>
    </r>
    <r>
      <rPr>
        <sz val="9"/>
        <rFont val="Noto Sans CJK SC"/>
        <family val="2"/>
      </rPr>
      <t xml:space="preserve">제약 조건 기반 작업 실행</t>
    </r>
  </si>
  <si>
    <t xml:space="preserve">동기화 결과 로그</t>
  </si>
  <si>
    <t xml:space="preserve">FN-DAT-006</t>
  </si>
  <si>
    <t xml:space="preserve">전체 백업 내보내기</t>
  </si>
  <si>
    <r>
      <rPr>
        <sz val="9"/>
        <rFont val="Noto Sans CJK SC"/>
        <family val="2"/>
      </rPr>
      <t xml:space="preserve">전 데이터를 </t>
    </r>
    <r>
      <rPr>
        <sz val="9"/>
        <rFont val="Malgun Gothic"/>
        <family val="0"/>
        <charset val="1"/>
      </rPr>
      <t xml:space="preserve">JSON </t>
    </r>
    <r>
      <rPr>
        <sz val="9"/>
        <rFont val="Noto Sans CJK SC"/>
        <family val="2"/>
      </rPr>
      <t xml:space="preserve">파일로 내보낸다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</si>
  <si>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엔티티 직렬화 후 </t>
    </r>
    <r>
      <rPr>
        <sz val="9"/>
        <rFont val="Malgun Gothic"/>
        <family val="0"/>
        <charset val="1"/>
      </rPr>
      <t xml:space="preserve">SAF</t>
    </r>
    <r>
      <rPr>
        <sz val="9"/>
        <rFont val="Noto Sans CJK SC"/>
        <family val="2"/>
      </rPr>
      <t xml:space="preserve">로 파일 저장</t>
    </r>
  </si>
  <si>
    <t xml:space="preserve">백업 파일</t>
  </si>
  <si>
    <t xml:space="preserve">SCR-DAT-001</t>
  </si>
  <si>
    <t xml:space="preserve">FN-DAT-007</t>
  </si>
  <si>
    <t xml:space="preserve">백업 복구</t>
  </si>
  <si>
    <r>
      <rPr>
        <sz val="9"/>
        <rFont val="Noto Sans CJK SC"/>
        <family val="2"/>
      </rPr>
      <t xml:space="preserve">백업 파일에서 데이터를 복구한다</t>
    </r>
    <r>
      <rPr>
        <sz val="9"/>
        <rFont val="Malgun Gothic"/>
        <family val="0"/>
        <charset val="1"/>
      </rPr>
      <t xml:space="preserve">.</t>
    </r>
  </si>
  <si>
    <t xml:space="preserve">스키마 버전 검증 후 병합 또는 대체 복구</t>
  </si>
  <si>
    <t xml:space="preserve">복구 결과 건수</t>
  </si>
  <si>
    <t xml:space="preserve">FN-DAT-008</t>
  </si>
  <si>
    <r>
      <rPr>
        <sz val="9"/>
        <rFont val="Malgun Gothic"/>
        <family val="0"/>
        <charset val="1"/>
      </rPr>
      <t xml:space="preserve">CSV </t>
    </r>
    <r>
      <rPr>
        <sz val="9"/>
        <rFont val="Noto Sans CJK SC"/>
        <family val="2"/>
      </rPr>
      <t xml:space="preserve">내보내기</t>
    </r>
  </si>
  <si>
    <r>
      <rPr>
        <sz val="9"/>
        <rFont val="Noto Sans CJK SC"/>
        <family val="2"/>
      </rPr>
      <t xml:space="preserve">운동기록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신체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식단 데이터를 </t>
    </r>
    <r>
      <rPr>
        <sz val="9"/>
        <rFont val="Malgun Gothic"/>
        <family val="0"/>
        <charset val="1"/>
      </rPr>
      <t xml:space="preserve">CSV</t>
    </r>
    <r>
      <rPr>
        <sz val="9"/>
        <rFont val="Noto Sans CJK SC"/>
        <family val="2"/>
      </rPr>
      <t xml:space="preserve">로 내보낸다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</si>
  <si>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대상 데이터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기간</t>
    </r>
  </si>
  <si>
    <r>
      <rPr>
        <sz val="9"/>
        <rFont val="Malgun Gothic"/>
        <family val="0"/>
        <charset val="1"/>
      </rPr>
      <t xml:space="preserve">CSV </t>
    </r>
    <r>
      <rPr>
        <sz val="9"/>
        <rFont val="Noto Sans CJK SC"/>
        <family val="2"/>
      </rPr>
      <t xml:space="preserve">생성 후 파일 저장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공유</t>
    </r>
  </si>
  <si>
    <r>
      <rPr>
        <sz val="9"/>
        <rFont val="Malgun Gothic"/>
        <family val="0"/>
        <charset val="1"/>
      </rPr>
      <t xml:space="preserve">CSV </t>
    </r>
    <r>
      <rPr>
        <sz val="9"/>
        <rFont val="Noto Sans CJK SC"/>
        <family val="2"/>
      </rPr>
      <t xml:space="preserve">파일</t>
    </r>
  </si>
  <si>
    <t xml:space="preserve">FN-DAT-009</t>
  </si>
  <si>
    <t xml:space="preserve">자동 백업</t>
  </si>
  <si>
    <r>
      <rPr>
        <sz val="9"/>
        <rFont val="Noto Sans CJK SC"/>
        <family val="2"/>
      </rPr>
      <t xml:space="preserve">주기적으로 로컬 자동 백업 파일을 생성한다</t>
    </r>
    <r>
      <rPr>
        <sz val="9"/>
        <rFont val="Malgun Gothic"/>
        <family val="0"/>
        <charset val="1"/>
      </rPr>
      <t xml:space="preserve">.</t>
    </r>
  </si>
  <si>
    <t xml:space="preserve">주기 설정</t>
  </si>
  <si>
    <r>
      <rPr>
        <sz val="9"/>
        <rFont val="Malgun Gothic"/>
        <family val="0"/>
        <charset val="1"/>
      </rPr>
      <t xml:space="preserve">WorkManager </t>
    </r>
    <r>
      <rPr>
        <sz val="9"/>
        <rFont val="Noto Sans CJK SC"/>
        <family val="2"/>
      </rPr>
      <t xml:space="preserve">주기 작업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 </t>
    </r>
    <r>
      <rPr>
        <sz val="9"/>
        <rFont val="Malgun Gothic"/>
        <family val="0"/>
        <charset val="1"/>
      </rPr>
      <t xml:space="preserve">5</t>
    </r>
    <r>
      <rPr>
        <sz val="9"/>
        <rFont val="Noto Sans CJK SC"/>
        <family val="2"/>
      </rPr>
      <t xml:space="preserve">개 보관</t>
    </r>
  </si>
  <si>
    <t xml:space="preserve">자동 백업 파일</t>
  </si>
  <si>
    <r>
      <rPr>
        <sz val="9"/>
        <rFont val="Noto Sans CJK SC"/>
        <family val="2"/>
      </rPr>
      <t xml:space="preserve">백업 또는 서버 동기화로 신규 기기에 데이터를 이전한다</t>
    </r>
    <r>
      <rPr>
        <sz val="9"/>
        <rFont val="Malgun Gothic"/>
        <family val="0"/>
        <charset val="1"/>
      </rPr>
      <t xml:space="preserve">.</t>
    </r>
  </si>
  <si>
    <t xml:space="preserve">백업 파일 또는 계정</t>
  </si>
  <si>
    <r>
      <rPr>
        <sz val="9"/>
        <rFont val="Malgun Gothic"/>
        <family val="0"/>
        <charset val="1"/>
      </rPr>
      <t xml:space="preserve">UUID </t>
    </r>
    <r>
      <rPr>
        <sz val="9"/>
        <rFont val="Noto Sans CJK SC"/>
        <family val="2"/>
      </rPr>
      <t xml:space="preserve">기반 중복 제거 후 적재</t>
    </r>
  </si>
  <si>
    <t xml:space="preserve">이전 완료</t>
  </si>
  <si>
    <t xml:space="preserve">FN-DAT-011</t>
  </si>
  <si>
    <t xml:space="preserve">선택 데이터 삭제</t>
  </si>
  <si>
    <r>
      <rPr>
        <sz val="9"/>
        <rFont val="Noto Sans CJK SC"/>
        <family val="2"/>
      </rPr>
      <t xml:space="preserve">기간 또는 도메인을 지정해 데이터를 삭제한다</t>
    </r>
    <r>
      <rPr>
        <sz val="9"/>
        <rFont val="Malgun Gothic"/>
        <family val="0"/>
        <charset val="1"/>
      </rPr>
      <t xml:space="preserve">.</t>
    </r>
  </si>
  <si>
    <t xml:space="preserve">삭제 범위</t>
  </si>
  <si>
    <r>
      <rPr>
        <sz val="9"/>
        <rFont val="Noto Sans CJK SC"/>
        <family val="2"/>
      </rPr>
      <t xml:space="preserve">확인 후 논리삭제 및 </t>
    </r>
    <r>
      <rPr>
        <sz val="9"/>
        <rFont val="Malgun Gothic"/>
        <family val="0"/>
        <charset val="1"/>
      </rPr>
      <t xml:space="preserve">tombstone </t>
    </r>
    <r>
      <rPr>
        <sz val="9"/>
        <rFont val="Noto Sans CJK SC"/>
        <family val="2"/>
      </rPr>
      <t xml:space="preserve">기록</t>
    </r>
  </si>
  <si>
    <t xml:space="preserve">삭제 결과 건수</t>
  </si>
  <si>
    <t xml:space="preserve">SCR-DAT-002</t>
  </si>
  <si>
    <t xml:space="preserve">FN-DAT-012</t>
  </si>
  <si>
    <t xml:space="preserve">전체 초기화</t>
  </si>
  <si>
    <r>
      <rPr>
        <sz val="9"/>
        <rFont val="Noto Sans CJK SC"/>
        <family val="2"/>
      </rPr>
      <t xml:space="preserve">전체 데이터를 초기화한다</t>
    </r>
    <r>
      <rPr>
        <sz val="9"/>
        <rFont val="Malgun Gothic"/>
        <family val="0"/>
        <charset val="1"/>
      </rPr>
      <t xml:space="preserve">.</t>
    </r>
  </si>
  <si>
    <t xml:space="preserve">확인 입력</t>
  </si>
  <si>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단계 확인 후 </t>
    </r>
    <r>
      <rPr>
        <sz val="9"/>
        <rFont val="Malgun Gothic"/>
        <family val="0"/>
        <charset val="1"/>
      </rPr>
      <t xml:space="preserve">DB </t>
    </r>
    <r>
      <rPr>
        <sz val="9"/>
        <rFont val="Noto Sans CJK SC"/>
        <family val="2"/>
      </rPr>
      <t xml:space="preserve">초기화 및 파일 삭제</t>
    </r>
  </si>
  <si>
    <t xml:space="preserve">초기 상태 복귀</t>
  </si>
  <si>
    <r>
      <rPr>
        <b val="true"/>
        <sz val="14"/>
        <color rgb="FF1F3864"/>
        <rFont val="Malgun Gothic"/>
        <family val="0"/>
        <charset val="1"/>
      </rPr>
      <t xml:space="preserve">4. </t>
    </r>
    <r>
      <rPr>
        <b val="true"/>
        <sz val="14"/>
        <color rgb="FF1F3864"/>
        <rFont val="Noto Sans CJK SC"/>
        <family val="2"/>
      </rPr>
      <t xml:space="preserve">화면목록</t>
    </r>
  </si>
  <si>
    <r>
      <rPr>
        <i val="true"/>
        <sz val="9"/>
        <color rgb="FF595959"/>
        <rFont val="Noto Sans CJK SC"/>
        <family val="2"/>
      </rPr>
      <t xml:space="preserve">기능정의서 기준 도출 화면 목록 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화면정의서 작성 전 단계</t>
    </r>
    <r>
      <rPr>
        <i val="true"/>
        <sz val="9"/>
        <color rgb="FF595959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</si>
  <si>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화면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</si>
  <si>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화면명</t>
  </si>
  <si>
    <t xml:space="preserve">화면 설명</t>
  </si>
  <si>
    <t xml:space="preserve">주요 구성요소</t>
  </si>
  <si>
    <t xml:space="preserve">공통</t>
  </si>
  <si>
    <t xml:space="preserve">홈 대시보드</t>
  </si>
  <si>
    <r>
      <rPr>
        <sz val="9"/>
        <rFont val="Noto Sans CJK SC"/>
        <family val="2"/>
      </rPr>
      <t xml:space="preserve">오늘의 운동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다음 수행 루틴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 기록 요약을 보여주는 진입 화면</t>
    </r>
  </si>
  <si>
    <r>
      <rPr>
        <sz val="9"/>
        <rFont val="Noto Sans CJK SC"/>
        <family val="2"/>
      </rPr>
      <t xml:space="preserve">오늘 일지 카드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다음 루틴 제안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주간 요약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스트릭</t>
    </r>
  </si>
  <si>
    <t xml:space="preserve">FN-CMN-001, FN-RTN-011, FN-CAL-008</t>
  </si>
  <si>
    <t xml:space="preserve">로그인</t>
  </si>
  <si>
    <r>
      <rPr>
        <sz val="9"/>
        <rFont val="Noto Sans CJK SC"/>
        <family val="2"/>
      </rPr>
      <t xml:space="preserve">소셜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이메일 로그인 및 게스트 진입</t>
    </r>
  </si>
  <si>
    <r>
      <rPr>
        <sz val="9"/>
        <rFont val="Noto Sans CJK SC"/>
        <family val="2"/>
      </rPr>
      <t xml:space="preserve">로그인 버튼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게스트 시작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약관 링크</t>
    </r>
  </si>
  <si>
    <t xml:space="preserve">FN-CMN-002, FN-CMN-003</t>
  </si>
  <si>
    <t xml:space="preserve">마이페이지</t>
  </si>
  <si>
    <r>
      <rPr>
        <sz val="9"/>
        <rFont val="Noto Sans CJK SC"/>
        <family val="2"/>
      </rPr>
      <t xml:space="preserve">계정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프로필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설정 진입 허브</t>
    </r>
  </si>
  <si>
    <r>
      <rPr>
        <sz val="9"/>
        <rFont val="Noto Sans CJK SC"/>
        <family val="2"/>
      </rPr>
      <t xml:space="preserve">프로필 요약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메뉴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로그아웃</t>
    </r>
  </si>
  <si>
    <t xml:space="preserve">프로필 편집</t>
  </si>
  <si>
    <r>
      <rPr>
        <sz val="9"/>
        <rFont val="Noto Sans CJK SC"/>
        <family val="2"/>
      </rPr>
      <t xml:space="preserve">성별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생년월일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키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목표 입력</t>
    </r>
  </si>
  <si>
    <r>
      <rPr>
        <sz val="9"/>
        <rFont val="Noto Sans CJK SC"/>
        <family val="2"/>
      </rPr>
      <t xml:space="preserve">입력 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저장 버튼</t>
    </r>
  </si>
  <si>
    <r>
      <rPr>
        <sz val="9"/>
        <rFont val="Noto Sans CJK SC"/>
        <family val="2"/>
      </rPr>
      <t xml:space="preserve">단위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테마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언어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타이머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알림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원판 설정</t>
    </r>
  </si>
  <si>
    <r>
      <rPr>
        <sz val="9"/>
        <rFont val="Noto Sans CJK SC"/>
        <family val="2"/>
      </rPr>
      <t xml:space="preserve">설정 항목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토글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선택 다이얼로그</t>
    </r>
  </si>
  <si>
    <t xml:space="preserve">FN-CMN-008, FN-CMN-010, FN-TOL-002</t>
  </si>
  <si>
    <t xml:space="preserve">최초 실행 단계별 설정 위저드</t>
  </si>
  <si>
    <r>
      <rPr>
        <sz val="9"/>
        <rFont val="Noto Sans CJK SC"/>
        <family val="2"/>
      </rPr>
      <t xml:space="preserve">스텝 인디케이터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입력 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건너뛰기</t>
    </r>
  </si>
  <si>
    <t xml:space="preserve">종목 선택</t>
  </si>
  <si>
    <r>
      <rPr>
        <sz val="9"/>
        <rFont val="Noto Sans CJK SC"/>
        <family val="2"/>
      </rPr>
      <t xml:space="preserve">검색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필터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즐겨찾기로 종목을 선택</t>
    </r>
  </si>
  <si>
    <r>
      <rPr>
        <sz val="9"/>
        <rFont val="Noto Sans CJK SC"/>
        <family val="2"/>
      </rPr>
      <t xml:space="preserve">검색바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필터칩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즐겨찾기 탭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다중선택</t>
    </r>
  </si>
  <si>
    <t xml:space="preserve">FN-EXR-008~011, FN-WRK-007</t>
  </si>
  <si>
    <t xml:space="preserve">종목 상세</t>
  </si>
  <si>
    <r>
      <rPr>
        <sz val="9"/>
        <rFont val="Noto Sans CJK SC"/>
        <family val="2"/>
      </rPr>
      <t xml:space="preserve">종목 수행방법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주의사항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참고링크 조회</t>
    </r>
  </si>
  <si>
    <r>
      <rPr>
        <sz val="9"/>
        <rFont val="Noto Sans CJK SC"/>
        <family val="2"/>
      </rPr>
      <t xml:space="preserve">설명 텍스트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 도해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링크 목록</t>
    </r>
  </si>
  <si>
    <r>
      <rPr>
        <sz val="9"/>
        <rFont val="Noto Sans CJK SC"/>
        <family val="2"/>
      </rPr>
      <t xml:space="preserve">종목 등록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편집</t>
    </r>
  </si>
  <si>
    <r>
      <rPr>
        <sz val="9"/>
        <rFont val="Noto Sans CJK SC"/>
        <family val="2"/>
      </rPr>
      <t xml:space="preserve">사용자 종목 등록 및 분류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기록유형 지정</t>
    </r>
  </si>
  <si>
    <r>
      <rPr>
        <sz val="9"/>
        <rFont val="Noto Sans CJK SC"/>
        <family val="2"/>
      </rPr>
      <t xml:space="preserve">입력 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분류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기록유형 선택</t>
    </r>
  </si>
  <si>
    <t xml:space="preserve">FN-EXR-002, FN-EXR-005~007</t>
  </si>
  <si>
    <r>
      <rPr>
        <sz val="9"/>
        <rFont val="Noto Sans CJK SC"/>
        <family val="2"/>
      </rPr>
      <t xml:space="preserve">종목별 </t>
    </r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내용 목록 및 편집</t>
    </r>
  </si>
  <si>
    <r>
      <rPr>
        <sz val="9"/>
        <rFont val="Noto Sans CJK SC"/>
        <family val="2"/>
      </rPr>
      <t xml:space="preserve">노트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작성일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트레이너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추가 버튼</t>
    </r>
  </si>
  <si>
    <t xml:space="preserve">FN-EXR-013, FN-EXR-015</t>
  </si>
  <si>
    <t xml:space="preserve">운동일지 상세</t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</si>
  <si>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회차별 종목 목록과 메모를 관리</t>
    </r>
  </si>
  <si>
    <r>
      <rPr>
        <sz val="9"/>
        <rFont val="Noto Sans CJK SC"/>
        <family val="2"/>
      </rPr>
      <t xml:space="preserve">회차 탭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종목 카드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일지 메모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운동 시작 버튼</t>
    </r>
  </si>
  <si>
    <t xml:space="preserve">FN-WRK-001~006, FN-WRK-018, FN-WRK-024</t>
  </si>
  <si>
    <t xml:space="preserve">종목 세트 입력</t>
  </si>
  <si>
    <r>
      <rPr>
        <sz val="9"/>
        <rFont val="Noto Sans CJK SC"/>
        <family val="2"/>
      </rPr>
      <t xml:space="preserve">종목별 세트 표를 입력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편집</t>
    </r>
  </si>
  <si>
    <r>
      <rPr>
        <sz val="9"/>
        <rFont val="Noto Sans CJK SC"/>
        <family val="2"/>
      </rPr>
      <t xml:space="preserve">세트 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숫자 키패드</t>
    </r>
    <r>
      <rPr>
        <sz val="9"/>
        <rFont val="Malgun Gothic"/>
        <family val="0"/>
        <charset val="1"/>
      </rPr>
      <t xml:space="preserve">, ±</t>
    </r>
    <r>
      <rPr>
        <sz val="9"/>
        <rFont val="Noto Sans CJK SC"/>
        <family val="2"/>
      </rPr>
      <t xml:space="preserve">버튼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세트타입 선택</t>
    </r>
    <r>
      <rPr>
        <sz val="9"/>
        <rFont val="Malgun Gothic"/>
        <family val="0"/>
        <charset val="1"/>
      </rPr>
      <t xml:space="preserve">, RPE, </t>
    </r>
    <r>
      <rPr>
        <sz val="9"/>
        <rFont val="Noto Sans CJK SC"/>
        <family val="2"/>
      </rPr>
      <t xml:space="preserve">메모</t>
    </r>
  </si>
  <si>
    <t xml:space="preserve">FN-WRK-008~017, FN-EXR-014, FN-RPT-004</t>
  </si>
  <si>
    <t xml:space="preserve">운동 수행</t>
  </si>
  <si>
    <t xml:space="preserve">수행 중 세트 체크와 휴식 타이머 제어</t>
  </si>
  <si>
    <r>
      <rPr>
        <sz val="9"/>
        <rFont val="Noto Sans CJK SC"/>
        <family val="2"/>
      </rPr>
      <t xml:space="preserve">진행률 바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현재 종목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 체크박스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타이머 패널</t>
    </r>
  </si>
  <si>
    <t xml:space="preserve">FN-WRK-019~023, FN-TOL-001~005</t>
  </si>
  <si>
    <t xml:space="preserve">운동 종료 후 지표 요약 및 루틴 저장</t>
  </si>
  <si>
    <r>
      <rPr>
        <sz val="9"/>
        <rFont val="Noto Sans CJK SC"/>
        <family val="2"/>
      </rPr>
      <t xml:space="preserve">총볼륨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세트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시간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 비중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평균강도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 저장 버튼</t>
    </r>
  </si>
  <si>
    <t xml:space="preserve">FN-WRK-027~028, FN-RTN-008, FN-RPT-005</t>
  </si>
  <si>
    <t xml:space="preserve">유산소 기록</t>
  </si>
  <si>
    <r>
      <rPr>
        <sz val="9"/>
        <rFont val="Noto Sans CJK SC"/>
        <family val="2"/>
      </rPr>
      <t xml:space="preserve">유산소 종목 시간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거리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심박 입력</t>
    </r>
  </si>
  <si>
    <r>
      <rPr>
        <sz val="9"/>
        <rFont val="Noto Sans CJK SC"/>
        <family val="2"/>
      </rPr>
      <t xml:space="preserve">입력 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페이스 자동 산출</t>
    </r>
  </si>
  <si>
    <t xml:space="preserve">보유 루틴 조회 및 실행</t>
  </si>
  <si>
    <r>
      <rPr>
        <sz val="9"/>
        <rFont val="Noto Sans CJK SC"/>
        <family val="2"/>
      </rPr>
      <t xml:space="preserve">루틴 카드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실행 버튼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신규 생성 </t>
    </r>
    <r>
      <rPr>
        <sz val="9"/>
        <rFont val="Malgun Gothic"/>
        <family val="0"/>
        <charset val="1"/>
      </rPr>
      <t xml:space="preserve">FAB</t>
    </r>
  </si>
  <si>
    <t xml:space="preserve">FN-RTN-002, FN-RTN-004, FN-RTN-007</t>
  </si>
  <si>
    <t xml:space="preserve">루틴 편집</t>
  </si>
  <si>
    <t xml:space="preserve">루틴 종목 구성과 목표값 설정</t>
  </si>
  <si>
    <r>
      <rPr>
        <sz val="9"/>
        <rFont val="Noto Sans CJK SC"/>
        <family val="2"/>
      </rPr>
      <t xml:space="preserve">종목 목록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드래그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목표 세트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휴식 입력</t>
    </r>
  </si>
  <si>
    <t xml:space="preserve">FN-RTN-001, FN-RTN-003, FN-RTN-005~006</t>
  </si>
  <si>
    <t xml:space="preserve">분할 프로그램</t>
  </si>
  <si>
    <r>
      <rPr>
        <sz val="9"/>
        <rFont val="Noto Sans CJK SC"/>
        <family val="2"/>
      </rPr>
      <t xml:space="preserve">복수 루틴의 요일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순환 배정 관리</t>
    </r>
  </si>
  <si>
    <r>
      <rPr>
        <sz val="9"/>
        <rFont val="Noto Sans CJK SC"/>
        <family val="2"/>
      </rPr>
      <t xml:space="preserve">프로그램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요일 그리드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 배정</t>
    </r>
  </si>
  <si>
    <t xml:space="preserve">주기화 계획</t>
  </si>
  <si>
    <t xml:space="preserve">주차별 목표 변화와 과부하 규칙 설정</t>
  </si>
  <si>
    <r>
      <rPr>
        <sz val="9"/>
        <rFont val="Noto Sans CJK SC"/>
        <family val="2"/>
      </rPr>
      <t xml:space="preserve">주차 테이블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규칙 설정 폼</t>
    </r>
  </si>
  <si>
    <t xml:space="preserve">추천 루틴</t>
  </si>
  <si>
    <r>
      <rPr>
        <sz val="9"/>
        <rFont val="Noto Sans CJK SC"/>
        <family val="2"/>
      </rPr>
      <t xml:space="preserve">부위별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목적별 프리셋 조회 및 복제</t>
    </r>
  </si>
  <si>
    <r>
      <rPr>
        <sz val="9"/>
        <rFont val="Noto Sans CJK SC"/>
        <family val="2"/>
      </rPr>
      <t xml:space="preserve">프리셋 카테고리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카드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복제 버튼</t>
    </r>
  </si>
  <si>
    <r>
      <rPr>
        <sz val="9"/>
        <rFont val="Noto Sans CJK SC"/>
        <family val="2"/>
      </rPr>
      <t xml:space="preserve">월 단위 수행일 조회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필터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계획 등록</t>
    </r>
  </si>
  <si>
    <r>
      <rPr>
        <sz val="9"/>
        <rFont val="Noto Sans CJK SC"/>
        <family val="2"/>
      </rPr>
      <t xml:space="preserve">월 그리드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마커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필터 시트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일자 상세 시트</t>
    </r>
  </si>
  <si>
    <t xml:space="preserve">FN-CAL-001~005, FN-CAL-007</t>
  </si>
  <si>
    <t xml:space="preserve">주 단위 수행 현황 요약</t>
  </si>
  <si>
    <r>
      <rPr>
        <sz val="9"/>
        <rFont val="Noto Sans CJK SC"/>
        <family val="2"/>
      </rPr>
      <t xml:space="preserve">주간 바 차트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일별 요약 리스트</t>
    </r>
  </si>
  <si>
    <t xml:space="preserve">분석</t>
  </si>
  <si>
    <t xml:space="preserve">리포트 대시보드</t>
  </si>
  <si>
    <r>
      <rPr>
        <sz val="9"/>
        <rFont val="Noto Sans CJK SC"/>
        <family val="2"/>
      </rPr>
      <t xml:space="preserve">주간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월간 지표 및 부위 분포 리포트</t>
    </r>
  </si>
  <si>
    <r>
      <rPr>
        <sz val="9"/>
        <rFont val="Noto Sans CJK SC"/>
        <family val="2"/>
      </rPr>
      <t xml:space="preserve">기간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지표 카드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 분포 차트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강도 분포</t>
    </r>
  </si>
  <si>
    <t xml:space="preserve">FN-RPT-006, FN-RPT-010~013, FN-RPT-022</t>
  </si>
  <si>
    <t xml:space="preserve">종목별 성장 분석</t>
  </si>
  <si>
    <r>
      <rPr>
        <sz val="9"/>
        <rFont val="Noto Sans CJK SC"/>
        <family val="2"/>
      </rPr>
      <t xml:space="preserve">종목 단위 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볼륨</t>
    </r>
    <r>
      <rPr>
        <sz val="9"/>
        <rFont val="Malgun Gothic"/>
        <family val="0"/>
        <charset val="1"/>
      </rPr>
      <t xml:space="preserve">·1RM </t>
    </r>
    <r>
      <rPr>
        <sz val="9"/>
        <rFont val="Noto Sans CJK SC"/>
        <family val="2"/>
      </rPr>
      <t xml:space="preserve">추이 조회</t>
    </r>
  </si>
  <si>
    <r>
      <rPr>
        <sz val="9"/>
        <rFont val="Noto Sans CJK SC"/>
        <family val="2"/>
      </rPr>
      <t xml:space="preserve">종목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기간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라인 차트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지표 요약</t>
    </r>
  </si>
  <si>
    <t xml:space="preserve">FN-RPT-001, FN-RPT-003, FN-RPT-007~009</t>
  </si>
  <si>
    <t xml:space="preserve">밸런스 분석</t>
  </si>
  <si>
    <r>
      <rPr>
        <sz val="9"/>
        <rFont val="Noto Sans CJK SC"/>
        <family val="2"/>
      </rPr>
      <t xml:space="preserve">밀기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당기기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상하체 비율 분석</t>
    </r>
  </si>
  <si>
    <r>
      <rPr>
        <sz val="9"/>
        <rFont val="Noto Sans CJK SC"/>
        <family val="2"/>
      </rPr>
      <t xml:space="preserve">비율 게이지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불균형 경고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부위별 표</t>
    </r>
  </si>
  <si>
    <r>
      <rPr>
        <sz val="9"/>
        <rFont val="Noto Sans CJK SC"/>
        <family val="2"/>
      </rPr>
      <t xml:space="preserve">개인기록</t>
    </r>
    <r>
      <rPr>
        <sz val="9"/>
        <rFont val="Malgun Gothic"/>
        <family val="0"/>
        <charset val="1"/>
      </rPr>
      <t xml:space="preserve">(PR)</t>
    </r>
  </si>
  <si>
    <r>
      <rPr>
        <sz val="9"/>
        <rFont val="Noto Sans CJK SC"/>
        <family val="2"/>
      </rPr>
      <t xml:space="preserve">종목별 </t>
    </r>
    <r>
      <rPr>
        <sz val="9"/>
        <rFont val="Malgun Gothic"/>
        <family val="0"/>
        <charset val="1"/>
      </rPr>
      <t xml:space="preserve">PR</t>
    </r>
    <r>
      <rPr>
        <sz val="9"/>
        <rFont val="Noto Sans CJK SC"/>
        <family val="2"/>
      </rPr>
      <t xml:space="preserve">과 갱신 이력 조회</t>
    </r>
  </si>
  <si>
    <r>
      <rPr>
        <sz val="9"/>
        <rFont val="Malgun Gothic"/>
        <family val="0"/>
        <charset val="1"/>
      </rPr>
      <t xml:space="preserve">PR </t>
    </r>
    <r>
      <rPr>
        <sz val="9"/>
        <rFont val="Noto Sans CJK SC"/>
        <family val="2"/>
      </rPr>
      <t xml:space="preserve">카드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이력 타임라인</t>
    </r>
  </si>
  <si>
    <t xml:space="preserve">메모 검색</t>
  </si>
  <si>
    <r>
      <rPr>
        <sz val="9"/>
        <rFont val="Noto Sans CJK SC"/>
        <family val="2"/>
      </rPr>
      <t xml:space="preserve">메모</t>
    </r>
    <r>
      <rPr>
        <sz val="9"/>
        <rFont val="Malgun Gothic"/>
        <family val="0"/>
        <charset val="1"/>
      </rPr>
      <t xml:space="preserve">·PT </t>
    </r>
    <r>
      <rPr>
        <sz val="9"/>
        <rFont val="Noto Sans CJK SC"/>
        <family val="2"/>
      </rPr>
      <t xml:space="preserve">노트 통합 키워드 검색</t>
    </r>
  </si>
  <si>
    <r>
      <rPr>
        <sz val="9"/>
        <rFont val="Noto Sans CJK SC"/>
        <family val="2"/>
      </rPr>
      <t xml:space="preserve">검색바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결과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하이라이트</t>
    </r>
  </si>
  <si>
    <t xml:space="preserve">기간 비교</t>
  </si>
  <si>
    <t xml:space="preserve">두 기간 지표 병렬 비교</t>
  </si>
  <si>
    <r>
      <rPr>
        <sz val="9"/>
        <rFont val="Noto Sans CJK SC"/>
        <family val="2"/>
      </rPr>
      <t xml:space="preserve">기간 선택 </t>
    </r>
    <r>
      <rPr>
        <sz val="9"/>
        <rFont val="Malgun Gothic"/>
        <family val="0"/>
        <charset val="1"/>
      </rPr>
      <t xml:space="preserve">2</t>
    </r>
    <r>
      <rPr>
        <sz val="9"/>
        <rFont val="Noto Sans CJK SC"/>
        <family val="2"/>
      </rPr>
      <t xml:space="preserve">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대조 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증감 표시</t>
    </r>
  </si>
  <si>
    <t xml:space="preserve">체성분 추이</t>
  </si>
  <si>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골격근 추이 및 이력 조회</t>
    </r>
  </si>
  <si>
    <r>
      <rPr>
        <sz val="9"/>
        <rFont val="Noto Sans CJK SC"/>
        <family val="2"/>
      </rPr>
      <t xml:space="preserve">기간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추이 차트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이력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기록 </t>
    </r>
    <r>
      <rPr>
        <sz val="9"/>
        <rFont val="Malgun Gothic"/>
        <family val="0"/>
        <charset val="1"/>
      </rPr>
      <t xml:space="preserve">FAB</t>
    </r>
  </si>
  <si>
    <t xml:space="preserve">FN-BDY-003, FN-BDY-008~009</t>
  </si>
  <si>
    <t xml:space="preserve">체성분 입력</t>
  </si>
  <si>
    <t xml:space="preserve">일자별 체성분 측정값 입력</t>
  </si>
  <si>
    <r>
      <rPr>
        <sz val="9"/>
        <rFont val="Noto Sans CJK SC"/>
        <family val="2"/>
      </rPr>
      <t xml:space="preserve">일자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수치 입력</t>
    </r>
    <r>
      <rPr>
        <sz val="9"/>
        <rFont val="Malgun Gothic"/>
        <family val="0"/>
        <charset val="1"/>
      </rPr>
      <t xml:space="preserve">, BMI </t>
    </r>
    <r>
      <rPr>
        <sz val="9"/>
        <rFont val="Noto Sans CJK SC"/>
        <family val="2"/>
      </rPr>
      <t xml:space="preserve">자동 표시</t>
    </r>
  </si>
  <si>
    <t xml:space="preserve">FN-BDY-001~002</t>
  </si>
  <si>
    <t xml:space="preserve">둘레 입력</t>
  </si>
  <si>
    <t xml:space="preserve">부위별 둘레 측정값 입력</t>
  </si>
  <si>
    <r>
      <rPr>
        <sz val="9"/>
        <rFont val="Noto Sans CJK SC"/>
        <family val="2"/>
      </rPr>
      <t xml:space="preserve">부위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수치 입력</t>
    </r>
  </si>
  <si>
    <t xml:space="preserve">눈바디 갤러리</t>
  </si>
  <si>
    <t xml:space="preserve">등록한 신체 사진 목록 조회</t>
  </si>
  <si>
    <r>
      <rPr>
        <sz val="9"/>
        <rFont val="Noto Sans CJK SC"/>
        <family val="2"/>
      </rPr>
      <t xml:space="preserve">일자별 썸네일 그리드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각도 필터</t>
    </r>
  </si>
  <si>
    <t xml:space="preserve">FN-BDY-005, FN-BDY-007</t>
  </si>
  <si>
    <t xml:space="preserve">사진 비교</t>
  </si>
  <si>
    <t xml:space="preserve">두 시점 사진 좌우 비교</t>
  </si>
  <si>
    <r>
      <rPr>
        <sz val="9"/>
        <rFont val="Noto Sans CJK SC"/>
        <family val="2"/>
      </rPr>
      <t xml:space="preserve">분할 뷰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일자 선택 슬라이더</t>
    </r>
  </si>
  <si>
    <t xml:space="preserve">신체 목표</t>
  </si>
  <si>
    <r>
      <rPr>
        <sz val="9"/>
        <rFont val="Noto Sans CJK SC"/>
        <family val="2"/>
      </rPr>
      <t xml:space="preserve">목표 체중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체지방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기일 설정 및 진행률</t>
    </r>
  </si>
  <si>
    <r>
      <rPr>
        <sz val="9"/>
        <rFont val="Noto Sans CJK SC"/>
        <family val="2"/>
      </rPr>
      <t xml:space="preserve">목표 입력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진행률 바</t>
    </r>
  </si>
  <si>
    <t xml:space="preserve">식단 타임라인</t>
  </si>
  <si>
    <r>
      <rPr>
        <sz val="9"/>
        <rFont val="Noto Sans CJK SC"/>
        <family val="2"/>
      </rPr>
      <t xml:space="preserve">일자별 식단 흐름과 칼로리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매크로 집계</t>
    </r>
  </si>
  <si>
    <r>
      <rPr>
        <sz val="9"/>
        <rFont val="Noto Sans CJK SC"/>
        <family val="2"/>
      </rPr>
      <t xml:space="preserve">타임라인 리스트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칼로리 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매크로 바</t>
    </r>
  </si>
  <si>
    <t xml:space="preserve">FN-DIE-002, FN-DIE-008~009</t>
  </si>
  <si>
    <t xml:space="preserve">식단 항목 입력</t>
  </si>
  <si>
    <r>
      <rPr>
        <sz val="9"/>
        <rFont val="Noto Sans CJK SC"/>
        <family val="2"/>
      </rPr>
      <t xml:space="preserve">시각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구분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음식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섭취량 입력</t>
    </r>
  </si>
  <si>
    <r>
      <rPr>
        <sz val="9"/>
        <rFont val="Noto Sans CJK SC"/>
        <family val="2"/>
      </rPr>
      <t xml:space="preserve">시각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음식 검색 진입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섭취량 입력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사진 첨부</t>
    </r>
  </si>
  <si>
    <t xml:space="preserve">FN-DIE-001, FN-DIE-003, FN-DIE-012</t>
  </si>
  <si>
    <r>
      <rPr>
        <sz val="9"/>
        <rFont val="Noto Sans CJK SC"/>
        <family val="2"/>
      </rPr>
      <t xml:space="preserve">음식 </t>
    </r>
    <r>
      <rPr>
        <sz val="9"/>
        <rFont val="Malgun Gothic"/>
        <family val="0"/>
        <charset val="1"/>
      </rPr>
      <t xml:space="preserve">DB </t>
    </r>
    <r>
      <rPr>
        <sz val="9"/>
        <rFont val="Noto Sans CJK SC"/>
        <family val="2"/>
      </rPr>
      <t xml:space="preserve">검색 및 빠른 추가</t>
    </r>
  </si>
  <si>
    <r>
      <rPr>
        <sz val="9"/>
        <rFont val="Noto Sans CJK SC"/>
        <family val="2"/>
      </rPr>
      <t xml:space="preserve">검색바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결과 목록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즐겨찾기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최근 탭</t>
    </r>
  </si>
  <si>
    <t xml:space="preserve">FN-DIE-004, FN-DIE-011</t>
  </si>
  <si>
    <r>
      <rPr>
        <sz val="9"/>
        <rFont val="Noto Sans CJK SC"/>
        <family val="2"/>
      </rPr>
      <t xml:space="preserve">음식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식단 세트 직접 등록</t>
    </r>
  </si>
  <si>
    <r>
      <rPr>
        <sz val="9"/>
        <rFont val="Noto Sans CJK SC"/>
        <family val="2"/>
      </rPr>
      <t xml:space="preserve">입력 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영양성분 입력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 구성</t>
    </r>
  </si>
  <si>
    <r>
      <rPr>
        <sz val="9"/>
        <rFont val="Noto Sans CJK SC"/>
        <family val="2"/>
      </rPr>
      <t xml:space="preserve">목표 칼로리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탄단지 비율 설정</t>
    </r>
  </si>
  <si>
    <r>
      <rPr>
        <sz val="9"/>
        <rFont val="Noto Sans CJK SC"/>
        <family val="2"/>
      </rPr>
      <t xml:space="preserve">목표 입력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자동 제안 버튼</t>
    </r>
  </si>
  <si>
    <t xml:space="preserve">목표 중량의 원판 조합 산출</t>
  </si>
  <si>
    <r>
      <rPr>
        <sz val="9"/>
        <rFont val="Noto Sans CJK SC"/>
        <family val="2"/>
      </rPr>
      <t xml:space="preserve">목표중량 입력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바 무게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원판 도식 표시</t>
    </r>
  </si>
  <si>
    <r>
      <rPr>
        <sz val="9"/>
        <rFont val="Noto Sans CJK SC"/>
        <family val="2"/>
      </rPr>
      <t xml:space="preserve">인터벌 구간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라운드 설정 및 실행</t>
    </r>
  </si>
  <si>
    <r>
      <rPr>
        <sz val="9"/>
        <rFont val="Noto Sans CJK SC"/>
        <family val="2"/>
      </rPr>
      <t xml:space="preserve">구간 설정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라운드 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진행 원형 타이머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프리셋</t>
    </r>
  </si>
  <si>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횟수로 </t>
    </r>
    <r>
      <rPr>
        <sz val="9"/>
        <rFont val="Malgun Gothic"/>
        <family val="0"/>
        <charset val="1"/>
      </rPr>
      <t xml:space="preserve">1RM </t>
    </r>
    <r>
      <rPr>
        <sz val="9"/>
        <rFont val="Noto Sans CJK SC"/>
        <family val="2"/>
      </rPr>
      <t xml:space="preserve">및 강도표 산출</t>
    </r>
  </si>
  <si>
    <r>
      <rPr>
        <sz val="9"/>
        <rFont val="Noto Sans CJK SC"/>
        <family val="2"/>
      </rPr>
      <t xml:space="preserve">입력 폼</t>
    </r>
    <r>
      <rPr>
        <sz val="9"/>
        <rFont val="Malgun Gothic"/>
        <family val="0"/>
        <charset val="1"/>
      </rPr>
      <t xml:space="preserve">, 1RM </t>
    </r>
    <r>
      <rPr>
        <sz val="9"/>
        <rFont val="Noto Sans CJK SC"/>
        <family val="2"/>
      </rPr>
      <t xml:space="preserve">결과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강도별 환산표</t>
    </r>
  </si>
  <si>
    <t xml:space="preserve">워치 화면</t>
  </si>
  <si>
    <r>
      <rPr>
        <sz val="9"/>
        <rFont val="Malgun Gothic"/>
        <family val="0"/>
        <charset val="1"/>
      </rPr>
      <t xml:space="preserve">Wear OS </t>
    </r>
    <r>
      <rPr>
        <sz val="9"/>
        <rFont val="Noto Sans CJK SC"/>
        <family val="2"/>
      </rPr>
      <t xml:space="preserve">세트 체크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타이머 화면</t>
    </r>
  </si>
  <si>
    <r>
      <rPr>
        <sz val="9"/>
        <rFont val="Noto Sans CJK SC"/>
        <family val="2"/>
      </rPr>
      <t xml:space="preserve">현재 종목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 체크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타이머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햅틱</t>
    </r>
  </si>
  <si>
    <r>
      <rPr>
        <sz val="9"/>
        <rFont val="Noto Sans CJK SC"/>
        <family val="2"/>
      </rPr>
      <t xml:space="preserve">백업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복구</t>
    </r>
  </si>
  <si>
    <r>
      <rPr>
        <sz val="9"/>
        <rFont val="Noto Sans CJK SC"/>
        <family val="2"/>
      </rPr>
      <t xml:space="preserve">백업 내보내기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복구</t>
    </r>
    <r>
      <rPr>
        <sz val="9"/>
        <rFont val="Malgun Gothic"/>
        <family val="0"/>
        <charset val="1"/>
      </rPr>
      <t xml:space="preserve">·CSV </t>
    </r>
    <r>
      <rPr>
        <sz val="9"/>
        <rFont val="Noto Sans CJK SC"/>
        <family val="2"/>
      </rPr>
      <t xml:space="preserve">내보내기</t>
    </r>
  </si>
  <si>
    <r>
      <rPr>
        <sz val="9"/>
        <rFont val="Noto Sans CJK SC"/>
        <family val="2"/>
      </rPr>
      <t xml:space="preserve">백업 버튼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파일 선택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 백업 이력</t>
    </r>
  </si>
  <si>
    <t xml:space="preserve">FN-DAT-006~008, FN-DAT-010</t>
  </si>
  <si>
    <t xml:space="preserve">선택 삭제 및 전체 초기화</t>
  </si>
  <si>
    <r>
      <rPr>
        <sz val="9"/>
        <rFont val="Noto Sans CJK SC"/>
        <family val="2"/>
      </rPr>
      <t xml:space="preserve">범위 선택</t>
    </r>
    <r>
      <rPr>
        <sz val="9"/>
        <rFont val="Malgun Gothic"/>
        <family val="0"/>
        <charset val="1"/>
      </rPr>
      <t xml:space="preserve">, 2</t>
    </r>
    <r>
      <rPr>
        <sz val="9"/>
        <rFont val="Noto Sans CJK SC"/>
        <family val="2"/>
      </rPr>
      <t xml:space="preserve">단계 확인 다이얼로그</t>
    </r>
  </si>
  <si>
    <r>
      <rPr>
        <b val="true"/>
        <sz val="14"/>
        <color rgb="FF1F3864"/>
        <rFont val="Malgun Gothic"/>
        <family val="0"/>
        <charset val="1"/>
      </rPr>
      <t xml:space="preserve">5. </t>
    </r>
    <r>
      <rPr>
        <b val="true"/>
        <sz val="14"/>
        <color rgb="FF1F3864"/>
        <rFont val="Noto Sans CJK SC"/>
        <family val="2"/>
      </rPr>
      <t xml:space="preserve">데이터 엔티티 목록</t>
    </r>
  </si>
  <si>
    <r>
      <rPr>
        <i val="true"/>
        <sz val="9"/>
        <color rgb="FF595959"/>
        <rFont val="Noto Sans CJK SC"/>
        <family val="2"/>
      </rPr>
      <t xml:space="preserve">논리 데이터 모델 초안 — 상세 </t>
    </r>
    <r>
      <rPr>
        <i val="true"/>
        <sz val="9"/>
        <color rgb="FF595959"/>
        <rFont val="Malgun Gothic"/>
        <family val="0"/>
        <charset val="1"/>
      </rPr>
      <t xml:space="preserve">ERD </t>
    </r>
    <r>
      <rPr>
        <i val="true"/>
        <sz val="9"/>
        <color rgb="FF595959"/>
        <rFont val="Noto Sans CJK SC"/>
        <family val="2"/>
      </rPr>
      <t xml:space="preserve">및 컬럼 정의서는 별도 산출물로 작성</t>
    </r>
  </si>
  <si>
    <r>
      <rPr>
        <b val="true"/>
        <sz val="10"/>
        <color rgb="FFFFFFFF"/>
        <rFont val="Noto Sans CJK SC"/>
        <family val="2"/>
      </rPr>
      <t xml:space="preserve">엔티티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</si>
  <si>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엔티티명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논리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</si>
  <si>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테이블명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물리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</si>
  <si>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주요 속성</t>
  </si>
  <si>
    <t xml:space="preserve">주요 관계</t>
  </si>
  <si>
    <t xml:space="preserve">ENT-001</t>
  </si>
  <si>
    <t xml:space="preserve">사용자</t>
  </si>
  <si>
    <t xml:space="preserve">user</t>
  </si>
  <si>
    <t xml:space="preserve">앱 사용자 계정 및 프로필</t>
  </si>
  <si>
    <r>
      <rPr>
        <sz val="9"/>
        <rFont val="Malgun Gothic"/>
        <family val="0"/>
        <charset val="1"/>
      </rPr>
      <t xml:space="preserve">id(UUID), </t>
    </r>
    <r>
      <rPr>
        <sz val="9"/>
        <rFont val="Noto Sans CJK SC"/>
        <family val="2"/>
      </rPr>
      <t xml:space="preserve">로그인유형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성별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생년월일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신장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목표유형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경력수준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</si>
  <si>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운동일지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체성분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식단</t>
    </r>
  </si>
  <si>
    <t xml:space="preserve">ENT-002</t>
  </si>
  <si>
    <t xml:space="preserve">user_setting</t>
  </si>
  <si>
    <r>
      <rPr>
        <sz val="9"/>
        <rFont val="Noto Sans CJK SC"/>
        <family val="2"/>
      </rPr>
      <t xml:space="preserve">단위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테마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타이머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알림 등 사용자 설정</t>
    </r>
  </si>
  <si>
    <r>
      <rPr>
        <sz val="9"/>
        <rFont val="Malgun Gothic"/>
        <family val="0"/>
        <charset val="1"/>
      </rPr>
      <t xml:space="preserve">user_id, </t>
    </r>
    <r>
      <rPr>
        <sz val="9"/>
        <rFont val="Noto Sans CJK SC"/>
        <family val="2"/>
      </rPr>
      <t xml:space="preserve">중량단위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길이단위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테마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기본휴식초</t>
    </r>
    <r>
      <rPr>
        <sz val="9"/>
        <rFont val="Malgun Gothic"/>
        <family val="0"/>
        <charset val="1"/>
      </rPr>
      <t xml:space="preserve">, 1RM</t>
    </r>
    <r>
      <rPr>
        <sz val="9"/>
        <rFont val="Noto Sans CJK SC"/>
        <family val="2"/>
      </rPr>
      <t xml:space="preserve">공식</t>
    </r>
  </si>
  <si>
    <r>
      <rPr>
        <sz val="9"/>
        <rFont val="Malgun Gothic"/>
        <family val="0"/>
        <charset val="1"/>
      </rPr>
      <t xml:space="preserve">1:1 </t>
    </r>
    <r>
      <rPr>
        <sz val="9"/>
        <rFont val="Noto Sans CJK SC"/>
        <family val="2"/>
      </rPr>
      <t xml:space="preserve">사용자</t>
    </r>
  </si>
  <si>
    <t xml:space="preserve">ENT-003</t>
  </si>
  <si>
    <t xml:space="preserve">exercise</t>
  </si>
  <si>
    <r>
      <rPr>
        <sz val="9"/>
        <rFont val="Noto Sans CJK SC"/>
        <family val="2"/>
      </rPr>
      <t xml:space="preserve">종목 마스터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기본 </t>
    </r>
    <r>
      <rPr>
        <sz val="9"/>
        <rFont val="Malgun Gothic"/>
        <family val="0"/>
        <charset val="1"/>
      </rPr>
      <t xml:space="preserve">+ </t>
    </r>
    <r>
      <rPr>
        <sz val="9"/>
        <rFont val="Noto Sans CJK SC"/>
        <family val="2"/>
      </rPr>
      <t xml:space="preserve">사용자 정의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</si>
  <si>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종목명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종목명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영문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기록유형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장비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동작성격</t>
    </r>
    <r>
      <rPr>
        <sz val="9"/>
        <rFont val="Malgun Gothic"/>
        <family val="0"/>
        <charset val="1"/>
      </rPr>
      <t xml:space="preserve">, is_user_defined, is_active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</si>
  <si>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일지종목 </t>
    </r>
    <r>
      <rPr>
        <sz val="9"/>
        <rFont val="Malgun Gothic"/>
        <family val="0"/>
        <charset val="1"/>
      </rPr>
      <t xml:space="preserve">/ </t>
    </r>
    <r>
      <rPr>
        <sz val="9"/>
        <rFont val="Noto Sans CJK SC"/>
        <family val="2"/>
      </rPr>
      <t xml:space="preserve">루틴종목 </t>
    </r>
    <r>
      <rPr>
        <sz val="9"/>
        <rFont val="Malgun Gothic"/>
        <family val="0"/>
        <charset val="1"/>
      </rPr>
      <t xml:space="preserve">/ PT</t>
    </r>
    <r>
      <rPr>
        <sz val="9"/>
        <rFont val="Noto Sans CJK SC"/>
        <family val="2"/>
      </rPr>
      <t xml:space="preserve">노트</t>
    </r>
  </si>
  <si>
    <t xml:space="preserve">ENT-004</t>
  </si>
  <si>
    <t xml:space="preserve">부위</t>
  </si>
  <si>
    <t xml:space="preserve">body_part</t>
  </si>
  <si>
    <t xml:space="preserve">근육 부위 코드 마스터</t>
  </si>
  <si>
    <r>
      <rPr>
        <sz val="9"/>
        <rFont val="Malgun Gothic"/>
        <family val="0"/>
        <charset val="1"/>
      </rPr>
      <t xml:space="preserve">code, </t>
    </r>
    <r>
      <rPr>
        <sz val="9"/>
        <rFont val="Noto Sans CJK SC"/>
        <family val="2"/>
      </rPr>
      <t xml:space="preserve">부위명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상위그룹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상체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하체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코어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</si>
  <si>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N:M </t>
    </r>
    <r>
      <rPr>
        <sz val="9"/>
        <rFont val="Noto Sans CJK SC"/>
        <family val="2"/>
      </rPr>
      <t xml:space="preserve">운동종목</t>
    </r>
  </si>
  <si>
    <t xml:space="preserve">ENT-005</t>
  </si>
  <si>
    <r>
      <rPr>
        <sz val="9"/>
        <rFont val="Noto Sans CJK SC"/>
        <family val="2"/>
      </rPr>
      <t xml:space="preserve">종목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부위 매핑</t>
    </r>
  </si>
  <si>
    <t xml:space="preserve">exercise_body_part</t>
  </si>
  <si>
    <r>
      <rPr>
        <sz val="9"/>
        <rFont val="Noto Sans CJK SC"/>
        <family val="2"/>
      </rPr>
      <t xml:space="preserve">종목의 주동근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보조근 매핑</t>
    </r>
  </si>
  <si>
    <r>
      <rPr>
        <sz val="9"/>
        <rFont val="Malgun Gothic"/>
        <family val="0"/>
        <charset val="1"/>
      </rPr>
      <t xml:space="preserve">exercise_id, body_part_code, </t>
    </r>
    <r>
      <rPr>
        <sz val="9"/>
        <rFont val="Noto Sans CJK SC"/>
        <family val="2"/>
      </rPr>
      <t xml:space="preserve">역할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주동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보조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</si>
  <si>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Malgun Gothic"/>
        <family val="0"/>
        <charset val="1"/>
      </rPr>
      <t xml:space="preserve">N:M </t>
    </r>
    <r>
      <rPr>
        <sz val="9"/>
        <rFont val="Noto Sans CJK SC"/>
        <family val="2"/>
      </rPr>
      <t xml:space="preserve">연결 엔티티</t>
    </r>
  </si>
  <si>
    <t xml:space="preserve">ENT-006</t>
  </si>
  <si>
    <t xml:space="preserve">exercise_favorite</t>
  </si>
  <si>
    <t xml:space="preserve">즐겨찾기 종목</t>
  </si>
  <si>
    <r>
      <rPr>
        <sz val="9"/>
        <rFont val="Malgun Gothic"/>
        <family val="0"/>
        <charset val="1"/>
      </rPr>
      <t xml:space="preserve">user_id, exercise_id, </t>
    </r>
    <r>
      <rPr>
        <sz val="9"/>
        <rFont val="Noto Sans CJK SC"/>
        <family val="2"/>
      </rPr>
      <t xml:space="preserve">등록일시</t>
    </r>
  </si>
  <si>
    <r>
      <rPr>
        <sz val="9"/>
        <rFont val="Malgun Gothic"/>
        <family val="0"/>
        <charset val="1"/>
      </rPr>
      <t xml:space="preserve">N:M </t>
    </r>
    <r>
      <rPr>
        <sz val="9"/>
        <rFont val="Noto Sans CJK SC"/>
        <family val="2"/>
      </rPr>
      <t xml:space="preserve">사용자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종목</t>
    </r>
  </si>
  <si>
    <t xml:space="preserve">ENT-007</t>
  </si>
  <si>
    <t xml:space="preserve">exercise_note</t>
  </si>
  <si>
    <r>
      <rPr>
        <sz val="9"/>
        <rFont val="Noto Sans CJK SC"/>
        <family val="2"/>
      </rPr>
      <t xml:space="preserve">종목별 </t>
    </r>
    <r>
      <rPr>
        <sz val="9"/>
        <rFont val="Malgun Gothic"/>
        <family val="0"/>
        <charset val="1"/>
      </rPr>
      <t xml:space="preserve">PT </t>
    </r>
    <r>
      <rPr>
        <sz val="9"/>
        <rFont val="Noto Sans CJK SC"/>
        <family val="2"/>
      </rPr>
      <t xml:space="preserve">학습 내용</t>
    </r>
  </si>
  <si>
    <r>
      <rPr>
        <sz val="9"/>
        <rFont val="Malgun Gothic"/>
        <family val="0"/>
        <charset val="1"/>
      </rPr>
      <t xml:space="preserve">id, exercise_id, </t>
    </r>
    <r>
      <rPr>
        <sz val="9"/>
        <rFont val="Noto Sans CJK SC"/>
        <family val="2"/>
      </rPr>
      <t xml:space="preserve">내용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트레이너명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작성일</t>
    </r>
  </si>
  <si>
    <r>
      <rPr>
        <sz val="9"/>
        <rFont val="Malgun Gothic"/>
        <family val="0"/>
        <charset val="1"/>
      </rPr>
      <t xml:space="preserve">N:1 </t>
    </r>
    <r>
      <rPr>
        <sz val="9"/>
        <rFont val="Noto Sans CJK SC"/>
        <family val="2"/>
      </rPr>
      <t xml:space="preserve">운동종목</t>
    </r>
  </si>
  <si>
    <t xml:space="preserve">ENT-008</t>
  </si>
  <si>
    <t xml:space="preserve">운동일지</t>
  </si>
  <si>
    <t xml:space="preserve">workout_log</t>
  </si>
  <si>
    <r>
      <rPr>
        <sz val="9"/>
        <rFont val="Noto Sans CJK SC"/>
        <family val="2"/>
      </rPr>
      <t xml:space="preserve">일자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회차 단위 운동 세션 헤더</t>
    </r>
  </si>
  <si>
    <r>
      <rPr>
        <sz val="9"/>
        <rFont val="Malgun Gothic"/>
        <family val="0"/>
        <charset val="1"/>
      </rPr>
      <t xml:space="preserve">id(UUID), user_id, </t>
    </r>
    <r>
      <rPr>
        <sz val="9"/>
        <rFont val="Noto Sans CJK SC"/>
        <family val="2"/>
      </rPr>
      <t xml:space="preserve">운동일자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회차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상태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계획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진행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완료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시작시각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종료시각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루틴명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메모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컨디션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</si>
  <si>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일지종목</t>
    </r>
  </si>
  <si>
    <t xml:space="preserve">ENT-009</t>
  </si>
  <si>
    <t xml:space="preserve">일지 종목</t>
  </si>
  <si>
    <t xml:space="preserve">workout_log_exercise</t>
  </si>
  <si>
    <t xml:space="preserve">일지 내 수행 종목 항목</t>
  </si>
  <si>
    <r>
      <rPr>
        <sz val="9"/>
        <rFont val="Malgun Gothic"/>
        <family val="0"/>
        <charset val="1"/>
      </rPr>
      <t xml:space="preserve">id, workout_log_id, exercise_id, </t>
    </r>
    <r>
      <rPr>
        <sz val="9"/>
        <rFont val="Noto Sans CJK SC"/>
        <family val="2"/>
      </rPr>
      <t xml:space="preserve">순번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슈퍼세트그룹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메모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</si>
  <si>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세트</t>
    </r>
  </si>
  <si>
    <t xml:space="preserve">ENT-010</t>
  </si>
  <si>
    <t xml:space="preserve">세트</t>
  </si>
  <si>
    <t xml:space="preserve">workout_set</t>
  </si>
  <si>
    <t xml:space="preserve">세트 단위 실제 기록</t>
  </si>
  <si>
    <r>
      <rPr>
        <sz val="9"/>
        <rFont val="Malgun Gothic"/>
        <family val="0"/>
        <charset val="1"/>
      </rPr>
      <t xml:space="preserve">id, log_exercise_id, </t>
    </r>
    <r>
      <rPr>
        <sz val="9"/>
        <rFont val="Noto Sans CJK SC"/>
        <family val="2"/>
      </rPr>
      <t xml:space="preserve">세트번호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세트타입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중량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횟수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시간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초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거리</t>
    </r>
    <r>
      <rPr>
        <sz val="9"/>
        <rFont val="Malgun Gothic"/>
        <family val="0"/>
        <charset val="1"/>
      </rPr>
      <t xml:space="preserve">, RPE, </t>
    </r>
    <r>
      <rPr>
        <sz val="9"/>
        <rFont val="Noto Sans CJK SC"/>
        <family val="2"/>
      </rPr>
      <t xml:space="preserve">완료여부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완료시각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메모</t>
    </r>
  </si>
  <si>
    <r>
      <rPr>
        <sz val="9"/>
        <rFont val="Malgun Gothic"/>
        <family val="0"/>
        <charset val="1"/>
      </rPr>
      <t xml:space="preserve">N:1 </t>
    </r>
    <r>
      <rPr>
        <sz val="9"/>
        <rFont val="Noto Sans CJK SC"/>
        <family val="2"/>
      </rPr>
      <t xml:space="preserve">일지종목</t>
    </r>
  </si>
  <si>
    <t xml:space="preserve">ENT-011</t>
  </si>
  <si>
    <t xml:space="preserve">routine</t>
  </si>
  <si>
    <t xml:space="preserve">반복 수행 운동 계획 템플릿</t>
  </si>
  <si>
    <r>
      <rPr>
        <sz val="9"/>
        <rFont val="Malgun Gothic"/>
        <family val="0"/>
        <charset val="1"/>
      </rPr>
      <t xml:space="preserve">id, user_id, </t>
    </r>
    <r>
      <rPr>
        <sz val="9"/>
        <rFont val="Noto Sans CJK SC"/>
        <family val="2"/>
      </rPr>
      <t xml:space="preserve">루틴명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설명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대상부위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사용횟수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최근수행일</t>
    </r>
    <r>
      <rPr>
        <sz val="9"/>
        <rFont val="Malgun Gothic"/>
        <family val="0"/>
        <charset val="1"/>
      </rPr>
      <t xml:space="preserve">, is_active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</si>
  <si>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루틴종목</t>
    </r>
  </si>
  <si>
    <t xml:space="preserve">ENT-012</t>
  </si>
  <si>
    <t xml:space="preserve">루틴 종목</t>
  </si>
  <si>
    <t xml:space="preserve">routine_exercise</t>
  </si>
  <si>
    <t xml:space="preserve">루틴 내 종목과 목표값</t>
  </si>
  <si>
    <r>
      <rPr>
        <sz val="9"/>
        <rFont val="Malgun Gothic"/>
        <family val="0"/>
        <charset val="1"/>
      </rPr>
      <t xml:space="preserve">id, routine_id, exercise_id, </t>
    </r>
    <r>
      <rPr>
        <sz val="9"/>
        <rFont val="Noto Sans CJK SC"/>
        <family val="2"/>
      </rPr>
      <t xml:space="preserve">순번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목표세트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목표중량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목표비율</t>
    </r>
    <r>
      <rPr>
        <sz val="9"/>
        <rFont val="Malgun Gothic"/>
        <family val="0"/>
        <charset val="1"/>
      </rPr>
      <t xml:space="preserve">(%1RM), </t>
    </r>
    <r>
      <rPr>
        <sz val="9"/>
        <rFont val="Noto Sans CJK SC"/>
        <family val="2"/>
      </rPr>
      <t xml:space="preserve">목표횟수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휴식초</t>
    </r>
  </si>
  <si>
    <r>
      <rPr>
        <sz val="9"/>
        <rFont val="Malgun Gothic"/>
        <family val="0"/>
        <charset val="1"/>
      </rPr>
      <t xml:space="preserve">N:1 </t>
    </r>
    <r>
      <rPr>
        <sz val="9"/>
        <rFont val="Noto Sans CJK SC"/>
        <family val="2"/>
      </rPr>
      <t xml:space="preserve">루틴</t>
    </r>
  </si>
  <si>
    <t xml:space="preserve">ENT-013</t>
  </si>
  <si>
    <t xml:space="preserve">program</t>
  </si>
  <si>
    <t xml:space="preserve">복수 루틴의 묶음 계획</t>
  </si>
  <si>
    <r>
      <rPr>
        <sz val="9"/>
        <rFont val="Malgun Gothic"/>
        <family val="0"/>
        <charset val="1"/>
      </rPr>
      <t xml:space="preserve">id, user_id, </t>
    </r>
    <r>
      <rPr>
        <sz val="9"/>
        <rFont val="Noto Sans CJK SC"/>
        <family val="2"/>
      </rPr>
      <t xml:space="preserve">프로그램명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배정방식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요일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순환</t>
    </r>
    <r>
      <rPr>
        <sz val="9"/>
        <rFont val="Malgun Gothic"/>
        <family val="0"/>
        <charset val="1"/>
      </rPr>
      <t xml:space="preserve">), is_active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</si>
  <si>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프로그램루틴</t>
    </r>
  </si>
  <si>
    <t xml:space="preserve">ENT-014</t>
  </si>
  <si>
    <t xml:space="preserve">프로그램 루틴</t>
  </si>
  <si>
    <t xml:space="preserve">program_routine</t>
  </si>
  <si>
    <r>
      <rPr>
        <sz val="9"/>
        <rFont val="Noto Sans CJK SC"/>
        <family val="2"/>
      </rPr>
      <t xml:space="preserve">프로그램</t>
    </r>
    <r>
      <rPr>
        <sz val="9"/>
        <rFont val="Malgun Gothic"/>
        <family val="0"/>
        <charset val="1"/>
      </rPr>
      <t xml:space="preserve">-</t>
    </r>
    <r>
      <rPr>
        <sz val="9"/>
        <rFont val="Noto Sans CJK SC"/>
        <family val="2"/>
      </rPr>
      <t xml:space="preserve">루틴 배정</t>
    </r>
  </si>
  <si>
    <r>
      <rPr>
        <sz val="9"/>
        <rFont val="Malgun Gothic"/>
        <family val="0"/>
        <charset val="1"/>
      </rPr>
      <t xml:space="preserve">program_id, routine_id, </t>
    </r>
    <r>
      <rPr>
        <sz val="9"/>
        <rFont val="Noto Sans CJK SC"/>
        <family val="2"/>
      </rPr>
      <t xml:space="preserve">순번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요일코드</t>
    </r>
  </si>
  <si>
    <t xml:space="preserve">ENT-015</t>
  </si>
  <si>
    <t xml:space="preserve">개인기록</t>
  </si>
  <si>
    <t xml:space="preserve">personal_record</t>
  </si>
  <si>
    <t xml:space="preserve">종목별 최고기록 이력</t>
  </si>
  <si>
    <r>
      <rPr>
        <sz val="9"/>
        <rFont val="Malgun Gothic"/>
        <family val="0"/>
        <charset val="1"/>
      </rPr>
      <t xml:space="preserve">id, user_id, exercise_id, </t>
    </r>
    <r>
      <rPr>
        <sz val="9"/>
        <rFont val="Noto Sans CJK SC"/>
        <family val="2"/>
      </rPr>
      <t xml:space="preserve">기록유형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최대중량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최대</t>
    </r>
    <r>
      <rPr>
        <sz val="9"/>
        <rFont val="Malgun Gothic"/>
        <family val="0"/>
        <charset val="1"/>
      </rPr>
      <t xml:space="preserve">1RM/</t>
    </r>
    <r>
      <rPr>
        <sz val="9"/>
        <rFont val="Noto Sans CJK SC"/>
        <family val="2"/>
      </rPr>
      <t xml:space="preserve">최대볼륨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값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달성일</t>
    </r>
    <r>
      <rPr>
        <sz val="9"/>
        <rFont val="Malgun Gothic"/>
        <family val="0"/>
        <charset val="1"/>
      </rPr>
      <t xml:space="preserve">, workout_set_id</t>
    </r>
  </si>
  <si>
    <t xml:space="preserve">ENT-016</t>
  </si>
  <si>
    <t xml:space="preserve">body_composition</t>
  </si>
  <si>
    <t xml:space="preserve">일자별 체성분 측정값</t>
  </si>
  <si>
    <r>
      <rPr>
        <sz val="9"/>
        <rFont val="Malgun Gothic"/>
        <family val="0"/>
        <charset val="1"/>
      </rPr>
      <t xml:space="preserve">id, user_id, </t>
    </r>
    <r>
      <rPr>
        <sz val="9"/>
        <rFont val="Noto Sans CJK SC"/>
        <family val="2"/>
      </rPr>
      <t xml:space="preserve">측정일자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체중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체지방률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골격근량</t>
    </r>
    <r>
      <rPr>
        <sz val="9"/>
        <rFont val="Malgun Gothic"/>
        <family val="0"/>
        <charset val="1"/>
      </rPr>
      <t xml:space="preserve">, BMI</t>
    </r>
  </si>
  <si>
    <r>
      <rPr>
        <sz val="9"/>
        <rFont val="Malgun Gothic"/>
        <family val="0"/>
        <charset val="1"/>
      </rPr>
      <t xml:space="preserve">N:1 </t>
    </r>
    <r>
      <rPr>
        <sz val="9"/>
        <rFont val="Noto Sans CJK SC"/>
        <family val="2"/>
      </rPr>
      <t xml:space="preserve">사용자</t>
    </r>
  </si>
  <si>
    <t xml:space="preserve">ENT-017</t>
  </si>
  <si>
    <t xml:space="preserve">신체 둘레</t>
  </si>
  <si>
    <t xml:space="preserve">body_measurement</t>
  </si>
  <si>
    <t xml:space="preserve">부위별 둘레 측정값</t>
  </si>
  <si>
    <r>
      <rPr>
        <sz val="9"/>
        <rFont val="Malgun Gothic"/>
        <family val="0"/>
        <charset val="1"/>
      </rPr>
      <t xml:space="preserve">id, user_id, </t>
    </r>
    <r>
      <rPr>
        <sz val="9"/>
        <rFont val="Noto Sans CJK SC"/>
        <family val="2"/>
      </rPr>
      <t xml:space="preserve">측정일자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부위코드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값</t>
    </r>
  </si>
  <si>
    <t xml:space="preserve">ENT-018</t>
  </si>
  <si>
    <t xml:space="preserve">신체 사진</t>
  </si>
  <si>
    <t xml:space="preserve">body_photo</t>
  </si>
  <si>
    <t xml:space="preserve">눈바디 사진 메타데이터</t>
  </si>
  <si>
    <r>
      <rPr>
        <sz val="9"/>
        <rFont val="Malgun Gothic"/>
        <family val="0"/>
        <charset val="1"/>
      </rPr>
      <t xml:space="preserve">id, user_id, </t>
    </r>
    <r>
      <rPr>
        <sz val="9"/>
        <rFont val="Noto Sans CJK SC"/>
        <family val="2"/>
      </rPr>
      <t xml:space="preserve">촬영일자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각도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정면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측면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후면</t>
    </r>
    <r>
      <rPr>
        <sz val="9"/>
        <rFont val="Malgun Gothic"/>
        <family val="0"/>
        <charset val="1"/>
      </rPr>
      <t xml:space="preserve">), </t>
    </r>
    <r>
      <rPr>
        <sz val="9"/>
        <rFont val="Noto Sans CJK SC"/>
        <family val="2"/>
      </rPr>
      <t xml:space="preserve">파일경로</t>
    </r>
  </si>
  <si>
    <t xml:space="preserve">ENT-019</t>
  </si>
  <si>
    <t xml:space="preserve">음식</t>
  </si>
  <si>
    <t xml:space="preserve">food</t>
  </si>
  <si>
    <t xml:space="preserve">음식 영양성분 마스터</t>
  </si>
  <si>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음식명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제공량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칼로리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탄수화물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단백질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지방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출처</t>
    </r>
    <r>
      <rPr>
        <sz val="9"/>
        <rFont val="Malgun Gothic"/>
        <family val="0"/>
        <charset val="1"/>
      </rPr>
      <t xml:space="preserve">, is_user_defined</t>
    </r>
  </si>
  <si>
    <r>
      <rPr>
        <sz val="9"/>
        <rFont val="Malgun Gothic"/>
        <family val="0"/>
        <charset val="1"/>
      </rPr>
      <t xml:space="preserve">1:N </t>
    </r>
    <r>
      <rPr>
        <sz val="9"/>
        <rFont val="Noto Sans CJK SC"/>
        <family val="2"/>
      </rPr>
      <t xml:space="preserve">식단항목</t>
    </r>
  </si>
  <si>
    <t xml:space="preserve">ENT-020</t>
  </si>
  <si>
    <t xml:space="preserve">식단 기록</t>
  </si>
  <si>
    <t xml:space="preserve">diet_log</t>
  </si>
  <si>
    <t xml:space="preserve">일자별 식단 헤더</t>
  </si>
  <si>
    <r>
      <rPr>
        <sz val="9"/>
        <rFont val="Malgun Gothic"/>
        <family val="0"/>
        <charset val="1"/>
      </rPr>
      <t xml:space="preserve">id, user_id, </t>
    </r>
    <r>
      <rPr>
        <sz val="9"/>
        <rFont val="Noto Sans CJK SC"/>
        <family val="2"/>
      </rPr>
      <t xml:space="preserve">식단일자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총칼로리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총탄수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총단백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총지방</t>
    </r>
  </si>
  <si>
    <t xml:space="preserve">ENT-021</t>
  </si>
  <si>
    <t xml:space="preserve">diet_log_item</t>
  </si>
  <si>
    <t xml:space="preserve">식사 단위 섭취 기록</t>
  </si>
  <si>
    <r>
      <rPr>
        <sz val="9"/>
        <rFont val="Malgun Gothic"/>
        <family val="0"/>
        <charset val="1"/>
      </rPr>
      <t xml:space="preserve">id, diet_log_id, food_id, </t>
    </r>
    <r>
      <rPr>
        <sz val="9"/>
        <rFont val="Noto Sans CJK SC"/>
        <family val="2"/>
      </rPr>
      <t xml:space="preserve">섭취시각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식사구분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섭취량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산출칼로리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사진경로</t>
    </r>
  </si>
  <si>
    <r>
      <rPr>
        <sz val="9"/>
        <rFont val="Malgun Gothic"/>
        <family val="0"/>
        <charset val="1"/>
      </rPr>
      <t xml:space="preserve">N:1 </t>
    </r>
    <r>
      <rPr>
        <sz val="9"/>
        <rFont val="Noto Sans CJK SC"/>
        <family val="2"/>
      </rPr>
      <t xml:space="preserve">식단기록</t>
    </r>
  </si>
  <si>
    <t xml:space="preserve">ENT-022</t>
  </si>
  <si>
    <t xml:space="preserve">보유 원판</t>
  </si>
  <si>
    <t xml:space="preserve">user_plate</t>
  </si>
  <si>
    <t xml:space="preserve">원판 계산기용 보유 장비</t>
  </si>
  <si>
    <r>
      <rPr>
        <sz val="9"/>
        <rFont val="Malgun Gothic"/>
        <family val="0"/>
        <charset val="1"/>
      </rPr>
      <t xml:space="preserve">user_id, </t>
    </r>
    <r>
      <rPr>
        <sz val="9"/>
        <rFont val="Noto Sans CJK SC"/>
        <family val="2"/>
      </rPr>
      <t xml:space="preserve">원판무게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수량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바무게</t>
    </r>
  </si>
  <si>
    <t xml:space="preserve">ENT-023</t>
  </si>
  <si>
    <t xml:space="preserve">동기화 이력</t>
  </si>
  <si>
    <t xml:space="preserve">sync_state</t>
  </si>
  <si>
    <t xml:space="preserve">엔티티별 마지막 동기화 시각</t>
  </si>
  <si>
    <r>
      <rPr>
        <sz val="9"/>
        <rFont val="Noto Sans CJK SC"/>
        <family val="2"/>
      </rPr>
      <t xml:space="preserve">엔티티명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마지막동기화시각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마지막커서</t>
    </r>
  </si>
  <si>
    <t xml:space="preserve">ENT-024</t>
  </si>
  <si>
    <t xml:space="preserve">삭제 이력</t>
  </si>
  <si>
    <t xml:space="preserve">tombstone</t>
  </si>
  <si>
    <t xml:space="preserve">논리 삭제 레코드 추적</t>
  </si>
  <si>
    <r>
      <rPr>
        <sz val="9"/>
        <rFont val="Noto Sans CJK SC"/>
        <family val="2"/>
      </rPr>
      <t xml:space="preserve">엔티티명</t>
    </r>
    <r>
      <rPr>
        <sz val="9"/>
        <rFont val="Malgun Gothic"/>
        <family val="0"/>
        <charset val="1"/>
      </rPr>
      <t xml:space="preserve">, </t>
    </r>
    <r>
      <rPr>
        <sz val="9"/>
        <rFont val="Noto Sans CJK SC"/>
        <family val="2"/>
      </rPr>
      <t xml:space="preserve">대상</t>
    </r>
    <r>
      <rPr>
        <sz val="9"/>
        <rFont val="Malgun Gothic"/>
        <family val="0"/>
        <charset val="1"/>
      </rPr>
      <t xml:space="preserve">id, </t>
    </r>
    <r>
      <rPr>
        <sz val="9"/>
        <rFont val="Noto Sans CJK SC"/>
        <family val="2"/>
      </rPr>
      <t xml:space="preserve">삭제시각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</si>
</sst>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Noto Sans CJK SC"/>
      <family val="2"/>
    </font>
    <font>
      <b val="true"/>
      <sz val="16"/>
      <color rgb="FF2E5395"/>
      <name val="Noto Sans CJK SC"/>
      <family val="2"/>
    </font>
    <font>
      <b val="true"/>
      <sz val="16"/>
      <color rgb="FF2E5395"/>
      <name val="Malgun Gothic"/>
      <family val="0"/>
      <charset val="1"/>
    </font>
    <font>
      <i val="true"/>
      <sz val="11"/>
      <color rgb="FF595959"/>
      <name val="Malgun Gothic"/>
      <family val="0"/>
      <charset val="1"/>
    </font>
    <font>
      <i val="true"/>
      <sz val="11"/>
      <color rgb="FF595959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9"/>
      <color rgb="FF7F6000"/>
      <name val="Noto Sans CJK SC"/>
      <family val="2"/>
    </font>
    <font>
      <sz val="9"/>
      <color rgb="FF7F6000"/>
      <name val="Malgun Gothic"/>
      <family val="0"/>
      <charset val="1"/>
    </font>
    <font>
      <b val="true"/>
      <sz val="14"/>
      <color rgb="FF1F3864"/>
      <name val="Malgun Gothic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Malgun Gothic"/>
      <family val="0"/>
      <charset val="1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9"/>
      <name val="Malgun Gothic"/>
      <family val="0"/>
      <charset val="1"/>
    </font>
    <font>
      <sz val="9"/>
      <name val="Noto Sans CJK SC"/>
      <family val="2"/>
    </font>
    <font>
      <sz val="9"/>
      <name val="Malgun Gothic"/>
      <family val="0"/>
      <charset val="1"/>
    </font>
    <font>
      <b val="true"/>
      <sz val="9"/>
      <name val="Noto Sans CJK SC"/>
      <family val="2"/>
    </font>
    <font>
      <sz val="9"/>
      <name val="Consolas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BE5D6"/>
      </patternFill>
    </fill>
    <fill>
      <patternFill patternType="solid">
        <fgColor rgb="FF2E5395"/>
        <bgColor rgb="FF1F3864"/>
      </patternFill>
    </fill>
    <fill>
      <patternFill patternType="solid">
        <fgColor rgb="FFFBE5D6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2F0D9"/>
      </patternFill>
    </fill>
    <fill>
      <patternFill patternType="solid">
        <fgColor rgb="FFDDEBF7"/>
        <bgColor rgb="FFE8E8F5"/>
      </patternFill>
    </fill>
    <fill>
      <patternFill patternType="solid">
        <fgColor rgb="FFF2E6FF"/>
        <bgColor rgb="FFE8E8F5"/>
      </patternFill>
    </fill>
    <fill>
      <patternFill patternType="solid">
        <fgColor rgb="FFFCE4D6"/>
        <bgColor rgb="FFFBE5D6"/>
      </patternFill>
    </fill>
    <fill>
      <patternFill patternType="solid">
        <fgColor rgb="FFE2F0D9"/>
        <bgColor rgb="FFE2EFDA"/>
      </patternFill>
    </fill>
    <fill>
      <patternFill patternType="solid">
        <fgColor rgb="FFFFF0F0"/>
        <bgColor rgb="FFF2F2F2"/>
      </patternFill>
    </fill>
    <fill>
      <patternFill patternType="solid">
        <fgColor rgb="FFE8E8F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8E8F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E6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0F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6E0B4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E699"/>
      <rgbColor rgb="FFE8E8F5"/>
      <rgbColor rgb="FFFBE5D6"/>
      <rgbColor rgb="FFF2E6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4"/>
  </cols>
  <sheetData>
    <row r="3" customFormat="false" ht="15" hidden="false" customHeight="false" outlineLevel="0" collapsed="false">
      <c r="B3" s="1" t="s">
        <v>0</v>
      </c>
      <c r="C3" s="1"/>
    </row>
    <row r="4" customFormat="false" ht="15" hidden="false" customHeight="fals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6" customFormat="false" ht="15" hidden="false" customHeight="false" outlineLevel="0" collapsed="false">
      <c r="B6" s="2"/>
      <c r="C6" s="2"/>
    </row>
    <row r="7" customFormat="false" ht="17.15" hidden="false" customHeight="false" outlineLevel="0" collapsed="false">
      <c r="B7" s="3" t="s">
        <v>2</v>
      </c>
      <c r="C7" s="3"/>
    </row>
    <row r="9" customFormat="false" ht="15" hidden="false" customHeight="false" outlineLevel="0" collapsed="false">
      <c r="B9" s="4" t="s">
        <v>3</v>
      </c>
      <c r="C9" s="4"/>
    </row>
    <row r="10" customFormat="false" ht="21.75" hidden="false" customHeight="true" outlineLevel="0" collapsed="false">
      <c r="B10" s="5" t="s">
        <v>4</v>
      </c>
      <c r="C10" s="6" t="s">
        <v>5</v>
      </c>
    </row>
    <row r="11" customFormat="false" ht="21.75" hidden="false" customHeight="true" outlineLevel="0" collapsed="false">
      <c r="B11" s="5" t="s">
        <v>6</v>
      </c>
      <c r="C11" s="6" t="s">
        <v>7</v>
      </c>
    </row>
    <row r="12" customFormat="false" ht="21.75" hidden="false" customHeight="true" outlineLevel="0" collapsed="false">
      <c r="B12" s="5" t="s">
        <v>8</v>
      </c>
      <c r="C12" s="7" t="s">
        <v>9</v>
      </c>
    </row>
    <row r="13" customFormat="false" ht="21.75" hidden="false" customHeight="true" outlineLevel="0" collapsed="false">
      <c r="B13" s="5" t="s">
        <v>10</v>
      </c>
      <c r="C13" s="7" t="s">
        <v>11</v>
      </c>
    </row>
    <row r="14" customFormat="false" ht="21.75" hidden="false" customHeight="true" outlineLevel="0" collapsed="false">
      <c r="B14" s="5" t="s">
        <v>12</v>
      </c>
      <c r="C14" s="7" t="s">
        <v>13</v>
      </c>
    </row>
    <row r="15" customFormat="false" ht="21.75" hidden="false" customHeight="true" outlineLevel="0" collapsed="false">
      <c r="B15" s="5" t="s">
        <v>14</v>
      </c>
      <c r="C15" s="6" t="s">
        <v>15</v>
      </c>
    </row>
    <row r="16" customFormat="false" ht="21.75" hidden="false" customHeight="true" outlineLevel="0" collapsed="false">
      <c r="B16" s="5" t="s">
        <v>16</v>
      </c>
      <c r="C16" s="7" t="s">
        <v>17</v>
      </c>
    </row>
    <row r="17" customFormat="false" ht="21.75" hidden="false" customHeight="true" outlineLevel="0" collapsed="false">
      <c r="B17" s="5" t="s">
        <v>18</v>
      </c>
      <c r="C17" s="7" t="s">
        <v>19</v>
      </c>
    </row>
    <row r="18" customFormat="false" ht="21.75" hidden="false" customHeight="true" outlineLevel="0" collapsed="false">
      <c r="B18" s="5" t="s">
        <v>20</v>
      </c>
      <c r="C18" s="6" t="s">
        <v>21</v>
      </c>
    </row>
    <row r="20" customFormat="false" ht="15" hidden="false" customHeight="false" outlineLevel="0" collapsed="false">
      <c r="B20" s="4" t="s">
        <v>22</v>
      </c>
      <c r="C20" s="4"/>
    </row>
    <row r="21" customFormat="false" ht="15" hidden="false" customHeight="false" outlineLevel="0" collapsed="false">
      <c r="B21" s="8" t="s">
        <v>23</v>
      </c>
      <c r="C21" s="8" t="s">
        <v>24</v>
      </c>
    </row>
    <row r="22" customFormat="false" ht="15" hidden="false" customHeight="false" outlineLevel="0" collapsed="false">
      <c r="B22" s="9" t="s">
        <v>9</v>
      </c>
      <c r="C22" s="10" t="s">
        <v>25</v>
      </c>
    </row>
    <row r="25" customFormat="false" ht="15" hidden="false" customHeight="true" outlineLevel="0" collapsed="false">
      <c r="B25" s="11" t="s">
        <v>26</v>
      </c>
      <c r="C25" s="11"/>
    </row>
    <row r="26" customFormat="false" ht="15" hidden="false" customHeight="false" outlineLevel="0" collapsed="false">
      <c r="B26" s="11"/>
      <c r="C26" s="11"/>
    </row>
    <row r="27" customFormat="false" ht="15" hidden="false" customHeight="false" outlineLevel="0" collapsed="false">
      <c r="B27" s="11"/>
      <c r="C27" s="11"/>
    </row>
    <row r="28" customFormat="false" ht="15" hidden="false" customHeight="false" outlineLevel="0" collapsed="false">
      <c r="B28" s="11"/>
      <c r="C28" s="11"/>
    </row>
  </sheetData>
  <mergeCells count="6">
    <mergeCell ref="B3:C4"/>
    <mergeCell ref="B5:C6"/>
    <mergeCell ref="B7:C7"/>
    <mergeCell ref="B9:C9"/>
    <mergeCell ref="B20:C20"/>
    <mergeCell ref="B25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5" min="3" style="0" width="30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2" t="s">
        <v>27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13" t="s">
        <v>28</v>
      </c>
      <c r="B2" s="13"/>
      <c r="C2" s="13"/>
      <c r="D2" s="13"/>
      <c r="E2" s="13"/>
      <c r="F2" s="13"/>
    </row>
    <row r="4" customFormat="false" ht="21.75" hidden="false" customHeight="true" outlineLevel="0" collapsed="false">
      <c r="B4" s="14" t="s">
        <v>29</v>
      </c>
      <c r="C4" s="14"/>
      <c r="D4" s="14"/>
      <c r="E4" s="14"/>
      <c r="F4" s="14"/>
    </row>
    <row r="5" customFormat="false" ht="45.75" hidden="false" customHeight="true" outlineLevel="0" collapsed="false">
      <c r="B5" s="15" t="s">
        <v>30</v>
      </c>
      <c r="C5" s="15"/>
      <c r="D5" s="15"/>
      <c r="E5" s="15"/>
      <c r="F5" s="15"/>
    </row>
    <row r="7" customFormat="false" ht="21.75" hidden="false" customHeight="true" outlineLevel="0" collapsed="false">
      <c r="B7" s="14" t="s">
        <v>31</v>
      </c>
      <c r="C7" s="14"/>
      <c r="D7" s="14"/>
      <c r="E7" s="14"/>
      <c r="F7" s="14"/>
    </row>
    <row r="8" customFormat="false" ht="33.75" hidden="false" customHeight="true" outlineLevel="0" collapsed="false">
      <c r="B8" s="16" t="s">
        <v>32</v>
      </c>
      <c r="C8" s="6" t="s">
        <v>33</v>
      </c>
      <c r="D8" s="6"/>
      <c r="E8" s="6"/>
      <c r="F8" s="6"/>
    </row>
    <row r="9" customFormat="false" ht="33.75" hidden="false" customHeight="true" outlineLevel="0" collapsed="false">
      <c r="B9" s="16" t="s">
        <v>34</v>
      </c>
      <c r="C9" s="6" t="s">
        <v>35</v>
      </c>
      <c r="D9" s="6"/>
      <c r="E9" s="6"/>
      <c r="F9" s="6"/>
    </row>
    <row r="10" customFormat="false" ht="33.75" hidden="false" customHeight="true" outlineLevel="0" collapsed="false">
      <c r="B10" s="16" t="s">
        <v>36</v>
      </c>
      <c r="C10" s="7" t="s">
        <v>37</v>
      </c>
      <c r="D10" s="7"/>
      <c r="E10" s="7"/>
      <c r="F10" s="7"/>
    </row>
    <row r="12" customFormat="false" ht="21.75" hidden="false" customHeight="true" outlineLevel="0" collapsed="false">
      <c r="B12" s="14" t="s">
        <v>38</v>
      </c>
      <c r="C12" s="14"/>
      <c r="D12" s="14"/>
      <c r="E12" s="14"/>
      <c r="F12" s="14"/>
    </row>
    <row r="13" customFormat="false" ht="15" hidden="false" customHeight="false" outlineLevel="0" collapsed="false">
      <c r="B13" s="17" t="s">
        <v>39</v>
      </c>
      <c r="C13" s="17" t="s">
        <v>40</v>
      </c>
      <c r="D13" s="17" t="s">
        <v>41</v>
      </c>
      <c r="E13" s="17" t="s">
        <v>42</v>
      </c>
      <c r="F13" s="17" t="s">
        <v>43</v>
      </c>
    </row>
    <row r="14" customFormat="false" ht="19.5" hidden="false" customHeight="true" outlineLevel="0" collapsed="false">
      <c r="B14" s="18" t="s">
        <v>44</v>
      </c>
      <c r="C14" s="6" t="s">
        <v>45</v>
      </c>
      <c r="D14" s="19" t="n">
        <f aca="false">COUNTA(요구사항정의서!A5:A86)</f>
        <v>82</v>
      </c>
      <c r="E14" s="6" t="s">
        <v>46</v>
      </c>
      <c r="F14" s="6"/>
    </row>
    <row r="15" customFormat="false" ht="19.5" hidden="false" customHeight="true" outlineLevel="0" collapsed="false">
      <c r="B15" s="18" t="s">
        <v>44</v>
      </c>
      <c r="C15" s="6" t="s">
        <v>47</v>
      </c>
      <c r="D15" s="19" t="n">
        <f aca="false">COUNTIF(요구사항정의서!B5:B86,"기능")</f>
        <v>72</v>
      </c>
      <c r="E15" s="6" t="s">
        <v>48</v>
      </c>
      <c r="F15" s="6"/>
    </row>
    <row r="16" customFormat="false" ht="19.5" hidden="false" customHeight="true" outlineLevel="0" collapsed="false">
      <c r="B16" s="18" t="s">
        <v>44</v>
      </c>
      <c r="C16" s="6" t="s">
        <v>49</v>
      </c>
      <c r="D16" s="19" t="n">
        <f aca="false">COUNTIF(요구사항정의서!B5:B86,"비기능")</f>
        <v>10</v>
      </c>
      <c r="E16" s="6" t="s">
        <v>50</v>
      </c>
      <c r="F16" s="6"/>
    </row>
    <row r="17" customFormat="false" ht="19.5" hidden="false" customHeight="true" outlineLevel="0" collapsed="false">
      <c r="B17" s="18" t="s">
        <v>44</v>
      </c>
      <c r="C17" s="6" t="s">
        <v>51</v>
      </c>
      <c r="D17" s="19" t="n">
        <f aca="false">COUNTIF(요구사항정의서!G5:G86,"상")</f>
        <v>40</v>
      </c>
      <c r="E17" s="6" t="s">
        <v>52</v>
      </c>
      <c r="F17" s="7" t="s">
        <v>53</v>
      </c>
    </row>
    <row r="18" customFormat="false" ht="19.5" hidden="false" customHeight="true" outlineLevel="0" collapsed="false">
      <c r="B18" s="18" t="s">
        <v>44</v>
      </c>
      <c r="C18" s="6" t="s">
        <v>54</v>
      </c>
      <c r="D18" s="19" t="n">
        <f aca="false">COUNTIF(요구사항정의서!G5:G86,"중")</f>
        <v>31</v>
      </c>
      <c r="E18" s="6" t="s">
        <v>55</v>
      </c>
      <c r="F18" s="6"/>
    </row>
    <row r="19" customFormat="false" ht="19.5" hidden="false" customHeight="true" outlineLevel="0" collapsed="false">
      <c r="B19" s="18" t="s">
        <v>44</v>
      </c>
      <c r="C19" s="6" t="s">
        <v>56</v>
      </c>
      <c r="D19" s="19" t="n">
        <f aca="false">COUNTIF(요구사항정의서!G5:G86,"하")</f>
        <v>11</v>
      </c>
      <c r="E19" s="6" t="s">
        <v>57</v>
      </c>
      <c r="F19" s="6"/>
    </row>
    <row r="20" customFormat="false" ht="19.5" hidden="false" customHeight="true" outlineLevel="0" collapsed="false">
      <c r="B20" s="18" t="s">
        <v>58</v>
      </c>
      <c r="C20" s="6" t="s">
        <v>59</v>
      </c>
      <c r="D20" s="19" t="n">
        <f aca="false">COUNTA(기능정의서!A5:A162)</f>
        <v>158</v>
      </c>
      <c r="E20" s="6" t="s">
        <v>60</v>
      </c>
      <c r="F20" s="6"/>
    </row>
    <row r="21" customFormat="false" ht="19.5" hidden="false" customHeight="true" outlineLevel="0" collapsed="false">
      <c r="B21" s="18" t="s">
        <v>58</v>
      </c>
      <c r="C21" s="7" t="s">
        <v>61</v>
      </c>
      <c r="D21" s="19" t="n">
        <f aca="false">COUNTIF(기능정의서!L5:L162,"Phase 1")</f>
        <v>63</v>
      </c>
      <c r="E21" s="6" t="s">
        <v>62</v>
      </c>
      <c r="F21" s="6" t="s">
        <v>63</v>
      </c>
    </row>
    <row r="22" customFormat="false" ht="19.5" hidden="false" customHeight="true" outlineLevel="0" collapsed="false">
      <c r="B22" s="18" t="s">
        <v>58</v>
      </c>
      <c r="C22" s="7" t="s">
        <v>64</v>
      </c>
      <c r="D22" s="19" t="n">
        <f aca="false">COUNTIF(기능정의서!L5:L162,"Phase 2")</f>
        <v>59</v>
      </c>
      <c r="E22" s="6" t="s">
        <v>65</v>
      </c>
      <c r="F22" s="6" t="s">
        <v>66</v>
      </c>
    </row>
    <row r="23" customFormat="false" ht="19.5" hidden="false" customHeight="true" outlineLevel="0" collapsed="false">
      <c r="B23" s="18" t="s">
        <v>58</v>
      </c>
      <c r="C23" s="7" t="s">
        <v>67</v>
      </c>
      <c r="D23" s="19" t="n">
        <f aca="false">COUNTIF(기능정의서!L5:L162,"Phase 3")</f>
        <v>36</v>
      </c>
      <c r="E23" s="6" t="s">
        <v>68</v>
      </c>
      <c r="F23" s="6" t="s">
        <v>69</v>
      </c>
    </row>
    <row r="24" customFormat="false" ht="19.5" hidden="false" customHeight="true" outlineLevel="0" collapsed="false">
      <c r="B24" s="18" t="s">
        <v>70</v>
      </c>
      <c r="C24" s="6" t="s">
        <v>71</v>
      </c>
      <c r="D24" s="19" t="n">
        <f aca="false">COUNTA(화면목록!A5:A49)</f>
        <v>45</v>
      </c>
      <c r="E24" s="6" t="s">
        <v>72</v>
      </c>
      <c r="F24" s="6"/>
    </row>
    <row r="25" customFormat="false" ht="19.5" hidden="false" customHeight="true" outlineLevel="0" collapsed="false">
      <c r="B25" s="18" t="s">
        <v>73</v>
      </c>
      <c r="C25" s="6" t="s">
        <v>74</v>
      </c>
      <c r="D25" s="19" t="n">
        <f aca="false">COUNTA(데이터엔티티목록!A5:A28)</f>
        <v>24</v>
      </c>
      <c r="E25" s="6" t="s">
        <v>75</v>
      </c>
      <c r="F25" s="6"/>
    </row>
    <row r="27" customFormat="false" ht="21.75" hidden="false" customHeight="true" outlineLevel="0" collapsed="false">
      <c r="B27" s="14" t="s">
        <v>76</v>
      </c>
      <c r="C27" s="14"/>
      <c r="D27" s="14"/>
      <c r="E27" s="14"/>
      <c r="F27" s="14"/>
    </row>
    <row r="28" customFormat="false" ht="15" hidden="false" customHeight="false" outlineLevel="0" collapsed="false">
      <c r="B28" s="17" t="s">
        <v>77</v>
      </c>
      <c r="C28" s="17" t="s">
        <v>78</v>
      </c>
      <c r="D28" s="17"/>
      <c r="E28" s="17"/>
      <c r="F28" s="17"/>
    </row>
    <row r="29" customFormat="false" ht="27.75" hidden="false" customHeight="true" outlineLevel="0" collapsed="false">
      <c r="B29" s="19" t="s">
        <v>79</v>
      </c>
      <c r="C29" s="7" t="s">
        <v>80</v>
      </c>
      <c r="D29" s="7"/>
      <c r="E29" s="7"/>
      <c r="F29" s="7"/>
    </row>
    <row r="30" customFormat="false" ht="27.75" hidden="false" customHeight="true" outlineLevel="0" collapsed="false">
      <c r="B30" s="20" t="s">
        <v>81</v>
      </c>
      <c r="C30" s="7" t="s">
        <v>82</v>
      </c>
      <c r="D30" s="7"/>
      <c r="E30" s="7"/>
      <c r="F30" s="7"/>
    </row>
    <row r="31" customFormat="false" ht="27.75" hidden="false" customHeight="true" outlineLevel="0" collapsed="false">
      <c r="B31" s="20" t="s">
        <v>83</v>
      </c>
      <c r="C31" s="6" t="s">
        <v>84</v>
      </c>
      <c r="D31" s="6"/>
      <c r="E31" s="6"/>
      <c r="F31" s="6"/>
    </row>
    <row r="32" customFormat="false" ht="27.75" hidden="false" customHeight="true" outlineLevel="0" collapsed="false">
      <c r="B32" s="19" t="s">
        <v>85</v>
      </c>
      <c r="C32" s="7" t="s">
        <v>86</v>
      </c>
      <c r="D32" s="7"/>
      <c r="E32" s="7"/>
      <c r="F32" s="7"/>
    </row>
    <row r="33" customFormat="false" ht="27.75" hidden="false" customHeight="true" outlineLevel="0" collapsed="false">
      <c r="B33" s="20" t="s">
        <v>87</v>
      </c>
      <c r="C33" s="6" t="s">
        <v>88</v>
      </c>
      <c r="D33" s="6"/>
      <c r="E33" s="6"/>
      <c r="F33" s="6"/>
    </row>
    <row r="34" customFormat="false" ht="27.75" hidden="false" customHeight="true" outlineLevel="0" collapsed="false">
      <c r="B34" s="20" t="s">
        <v>89</v>
      </c>
      <c r="C34" s="6" t="s">
        <v>90</v>
      </c>
      <c r="D34" s="6"/>
      <c r="E34" s="6"/>
      <c r="F34" s="6"/>
    </row>
    <row r="35" customFormat="false" ht="27.75" hidden="false" customHeight="true" outlineLevel="0" collapsed="false">
      <c r="B35" s="20" t="s">
        <v>91</v>
      </c>
      <c r="C35" s="6" t="s">
        <v>92</v>
      </c>
      <c r="D35" s="6"/>
      <c r="E35" s="6"/>
      <c r="F35" s="6"/>
    </row>
    <row r="36" customFormat="false" ht="27.75" hidden="false" customHeight="true" outlineLevel="0" collapsed="false">
      <c r="B36" s="20" t="s">
        <v>93</v>
      </c>
      <c r="C36" s="6" t="s">
        <v>94</v>
      </c>
      <c r="D36" s="6"/>
      <c r="E36" s="6"/>
      <c r="F36" s="6"/>
    </row>
    <row r="37" customFormat="false" ht="27.75" hidden="false" customHeight="true" outlineLevel="0" collapsed="false">
      <c r="B37" s="20" t="s">
        <v>95</v>
      </c>
      <c r="C37" s="7" t="s">
        <v>96</v>
      </c>
      <c r="D37" s="7"/>
      <c r="E37" s="7"/>
      <c r="F37" s="7"/>
    </row>
    <row r="38" customFormat="false" ht="27.75" hidden="false" customHeight="true" outlineLevel="0" collapsed="false">
      <c r="B38" s="20" t="s">
        <v>97</v>
      </c>
      <c r="C38" s="6" t="s">
        <v>98</v>
      </c>
      <c r="D38" s="6"/>
      <c r="E38" s="6"/>
      <c r="F38" s="6"/>
    </row>
    <row r="39" customFormat="false" ht="27.75" hidden="false" customHeight="true" outlineLevel="0" collapsed="false">
      <c r="B39" s="19" t="s">
        <v>99</v>
      </c>
      <c r="C39" s="6" t="s">
        <v>100</v>
      </c>
      <c r="D39" s="6"/>
      <c r="E39" s="6"/>
      <c r="F39" s="6"/>
    </row>
    <row r="40" customFormat="false" ht="27.75" hidden="false" customHeight="true" outlineLevel="0" collapsed="false">
      <c r="B40" s="19" t="s">
        <v>101</v>
      </c>
      <c r="C40" s="7" t="s">
        <v>102</v>
      </c>
      <c r="D40" s="7"/>
      <c r="E40" s="7"/>
      <c r="F40" s="7"/>
    </row>
  </sheetData>
  <mergeCells count="23">
    <mergeCell ref="A1:F1"/>
    <mergeCell ref="A2:F2"/>
    <mergeCell ref="B4:F4"/>
    <mergeCell ref="B5:F5"/>
    <mergeCell ref="B7:F7"/>
    <mergeCell ref="C8:F8"/>
    <mergeCell ref="C9:F9"/>
    <mergeCell ref="C10:F10"/>
    <mergeCell ref="B12:F12"/>
    <mergeCell ref="B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78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20"/>
  </cols>
  <sheetData>
    <row r="1" customFormat="false" ht="25.5" hidden="false" customHeight="true" outlineLevel="0" collapsed="false">
      <c r="A1" s="12" t="s">
        <v>103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8" hidden="false" customHeight="true" outlineLevel="0" collapsed="false">
      <c r="A2" s="13" t="s">
        <v>104</v>
      </c>
      <c r="B2" s="13"/>
      <c r="C2" s="13"/>
      <c r="D2" s="13"/>
      <c r="E2" s="13"/>
      <c r="F2" s="13"/>
      <c r="G2" s="13"/>
      <c r="H2" s="13"/>
      <c r="I2" s="13"/>
      <c r="J2" s="13"/>
    </row>
    <row r="4" customFormat="false" ht="30" hidden="false" customHeight="true" outlineLevel="0" collapsed="false">
      <c r="A4" s="21" t="s">
        <v>105</v>
      </c>
      <c r="B4" s="21" t="s">
        <v>39</v>
      </c>
      <c r="C4" s="21" t="s">
        <v>106</v>
      </c>
      <c r="D4" s="21" t="s">
        <v>107</v>
      </c>
      <c r="E4" s="21" t="s">
        <v>108</v>
      </c>
      <c r="F4" s="21" t="s">
        <v>109</v>
      </c>
      <c r="G4" s="21" t="s">
        <v>110</v>
      </c>
      <c r="H4" s="21" t="s">
        <v>111</v>
      </c>
      <c r="I4" s="21" t="s">
        <v>112</v>
      </c>
      <c r="J4" s="21" t="s">
        <v>113</v>
      </c>
    </row>
    <row r="5" customFormat="false" ht="45.75" hidden="false" customHeight="true" outlineLevel="0" collapsed="false">
      <c r="A5" s="22" t="s">
        <v>114</v>
      </c>
      <c r="B5" s="23" t="s">
        <v>58</v>
      </c>
      <c r="C5" s="23" t="s">
        <v>115</v>
      </c>
      <c r="D5" s="23" t="s">
        <v>116</v>
      </c>
      <c r="E5" s="24" t="s">
        <v>117</v>
      </c>
      <c r="F5" s="25" t="s">
        <v>118</v>
      </c>
      <c r="G5" s="26" t="s">
        <v>119</v>
      </c>
      <c r="H5" s="23" t="s">
        <v>120</v>
      </c>
      <c r="I5" s="27" t="s">
        <v>121</v>
      </c>
      <c r="J5" s="27" t="s">
        <v>122</v>
      </c>
    </row>
    <row r="6" customFormat="false" ht="45.75" hidden="false" customHeight="true" outlineLevel="0" collapsed="false">
      <c r="A6" s="22" t="s">
        <v>123</v>
      </c>
      <c r="B6" s="23" t="s">
        <v>58</v>
      </c>
      <c r="C6" s="23" t="s">
        <v>115</v>
      </c>
      <c r="D6" s="23" t="s">
        <v>124</v>
      </c>
      <c r="E6" s="24" t="s">
        <v>125</v>
      </c>
      <c r="F6" s="25" t="s">
        <v>126</v>
      </c>
      <c r="G6" s="26" t="s">
        <v>119</v>
      </c>
      <c r="H6" s="23" t="s">
        <v>127</v>
      </c>
      <c r="I6" s="27" t="s">
        <v>121</v>
      </c>
      <c r="J6" s="27" t="s">
        <v>128</v>
      </c>
    </row>
    <row r="7" customFormat="false" ht="45.75" hidden="false" customHeight="true" outlineLevel="0" collapsed="false">
      <c r="A7" s="22" t="s">
        <v>129</v>
      </c>
      <c r="B7" s="23" t="s">
        <v>58</v>
      </c>
      <c r="C7" s="23" t="s">
        <v>115</v>
      </c>
      <c r="D7" s="23" t="s">
        <v>130</v>
      </c>
      <c r="E7" s="24" t="s">
        <v>131</v>
      </c>
      <c r="F7" s="25" t="s">
        <v>132</v>
      </c>
      <c r="G7" s="23" t="s">
        <v>120</v>
      </c>
      <c r="H7" s="23" t="s">
        <v>127</v>
      </c>
      <c r="I7" s="27" t="s">
        <v>121</v>
      </c>
      <c r="J7" s="27" t="s">
        <v>133</v>
      </c>
    </row>
    <row r="8" customFormat="false" ht="45.75" hidden="false" customHeight="true" outlineLevel="0" collapsed="false">
      <c r="A8" s="22" t="s">
        <v>134</v>
      </c>
      <c r="B8" s="23" t="s">
        <v>58</v>
      </c>
      <c r="C8" s="23" t="s">
        <v>115</v>
      </c>
      <c r="D8" s="23" t="s">
        <v>135</v>
      </c>
      <c r="E8" s="24" t="s">
        <v>136</v>
      </c>
      <c r="F8" s="25" t="s">
        <v>137</v>
      </c>
      <c r="G8" s="23" t="s">
        <v>120</v>
      </c>
      <c r="H8" s="23" t="s">
        <v>127</v>
      </c>
      <c r="I8" s="27" t="s">
        <v>121</v>
      </c>
      <c r="J8" s="27" t="s">
        <v>138</v>
      </c>
    </row>
    <row r="9" customFormat="false" ht="45.75" hidden="false" customHeight="true" outlineLevel="0" collapsed="false">
      <c r="A9" s="22" t="s">
        <v>139</v>
      </c>
      <c r="B9" s="23" t="s">
        <v>58</v>
      </c>
      <c r="C9" s="23" t="s">
        <v>115</v>
      </c>
      <c r="D9" s="23" t="s">
        <v>130</v>
      </c>
      <c r="E9" s="24" t="s">
        <v>140</v>
      </c>
      <c r="F9" s="25" t="s">
        <v>141</v>
      </c>
      <c r="G9" s="23" t="s">
        <v>120</v>
      </c>
      <c r="H9" s="23" t="s">
        <v>127</v>
      </c>
      <c r="I9" s="27" t="s">
        <v>121</v>
      </c>
      <c r="J9" s="27" t="s">
        <v>142</v>
      </c>
    </row>
    <row r="10" customFormat="false" ht="45.75" hidden="false" customHeight="true" outlineLevel="0" collapsed="false">
      <c r="A10" s="22" t="s">
        <v>143</v>
      </c>
      <c r="B10" s="23" t="s">
        <v>58</v>
      </c>
      <c r="C10" s="23" t="s">
        <v>115</v>
      </c>
      <c r="D10" s="23" t="s">
        <v>130</v>
      </c>
      <c r="E10" s="24" t="s">
        <v>144</v>
      </c>
      <c r="F10" s="25" t="s">
        <v>145</v>
      </c>
      <c r="G10" s="23" t="s">
        <v>127</v>
      </c>
      <c r="H10" s="23" t="s">
        <v>127</v>
      </c>
      <c r="I10" s="27" t="s">
        <v>67</v>
      </c>
      <c r="J10" s="27" t="s">
        <v>146</v>
      </c>
    </row>
    <row r="11" customFormat="false" ht="45.75" hidden="false" customHeight="true" outlineLevel="0" collapsed="false">
      <c r="A11" s="22" t="s">
        <v>147</v>
      </c>
      <c r="B11" s="23" t="s">
        <v>58</v>
      </c>
      <c r="C11" s="23" t="s">
        <v>148</v>
      </c>
      <c r="D11" s="23" t="s">
        <v>149</v>
      </c>
      <c r="E11" s="24" t="s">
        <v>150</v>
      </c>
      <c r="F11" s="25" t="s">
        <v>151</v>
      </c>
      <c r="G11" s="26" t="s">
        <v>119</v>
      </c>
      <c r="H11" s="23" t="s">
        <v>120</v>
      </c>
      <c r="I11" s="27" t="s">
        <v>121</v>
      </c>
      <c r="J11" s="27" t="s">
        <v>152</v>
      </c>
    </row>
    <row r="12" customFormat="false" ht="45.75" hidden="false" customHeight="true" outlineLevel="0" collapsed="false">
      <c r="A12" s="22" t="s">
        <v>153</v>
      </c>
      <c r="B12" s="23" t="s">
        <v>58</v>
      </c>
      <c r="C12" s="23" t="s">
        <v>148</v>
      </c>
      <c r="D12" s="23" t="s">
        <v>154</v>
      </c>
      <c r="E12" s="24" t="s">
        <v>155</v>
      </c>
      <c r="F12" s="25" t="s">
        <v>156</v>
      </c>
      <c r="G12" s="26" t="s">
        <v>119</v>
      </c>
      <c r="H12" s="23" t="s">
        <v>120</v>
      </c>
      <c r="I12" s="27" t="s">
        <v>121</v>
      </c>
      <c r="J12" s="27" t="s">
        <v>157</v>
      </c>
    </row>
    <row r="13" customFormat="false" ht="45.75" hidden="false" customHeight="true" outlineLevel="0" collapsed="false">
      <c r="A13" s="22" t="s">
        <v>158</v>
      </c>
      <c r="B13" s="23" t="s">
        <v>58</v>
      </c>
      <c r="C13" s="23" t="s">
        <v>148</v>
      </c>
      <c r="D13" s="23" t="s">
        <v>159</v>
      </c>
      <c r="E13" s="24" t="s">
        <v>160</v>
      </c>
      <c r="F13" s="25" t="s">
        <v>161</v>
      </c>
      <c r="G13" s="23" t="s">
        <v>120</v>
      </c>
      <c r="H13" s="23" t="s">
        <v>120</v>
      </c>
      <c r="I13" s="27" t="s">
        <v>64</v>
      </c>
      <c r="J13" s="27" t="s">
        <v>162</v>
      </c>
    </row>
    <row r="14" customFormat="false" ht="45.75" hidden="false" customHeight="true" outlineLevel="0" collapsed="false">
      <c r="A14" s="22" t="s">
        <v>163</v>
      </c>
      <c r="B14" s="23" t="s">
        <v>58</v>
      </c>
      <c r="C14" s="23" t="s">
        <v>148</v>
      </c>
      <c r="D14" s="23" t="s">
        <v>149</v>
      </c>
      <c r="E14" s="24" t="s">
        <v>164</v>
      </c>
      <c r="F14" s="25" t="s">
        <v>165</v>
      </c>
      <c r="G14" s="26" t="s">
        <v>119</v>
      </c>
      <c r="H14" s="23" t="s">
        <v>120</v>
      </c>
      <c r="I14" s="27" t="s">
        <v>121</v>
      </c>
      <c r="J14" s="27" t="s">
        <v>166</v>
      </c>
    </row>
    <row r="15" customFormat="false" ht="45.75" hidden="false" customHeight="true" outlineLevel="0" collapsed="false">
      <c r="A15" s="22" t="s">
        <v>167</v>
      </c>
      <c r="B15" s="23" t="s">
        <v>58</v>
      </c>
      <c r="C15" s="23" t="s">
        <v>148</v>
      </c>
      <c r="D15" s="23" t="s">
        <v>168</v>
      </c>
      <c r="E15" s="24" t="s">
        <v>169</v>
      </c>
      <c r="F15" s="25" t="s">
        <v>170</v>
      </c>
      <c r="G15" s="26" t="s">
        <v>119</v>
      </c>
      <c r="H15" s="23" t="s">
        <v>120</v>
      </c>
      <c r="I15" s="27" t="s">
        <v>121</v>
      </c>
      <c r="J15" s="27" t="s">
        <v>171</v>
      </c>
    </row>
    <row r="16" customFormat="false" ht="45.75" hidden="false" customHeight="true" outlineLevel="0" collapsed="false">
      <c r="A16" s="22" t="s">
        <v>172</v>
      </c>
      <c r="B16" s="23" t="s">
        <v>58</v>
      </c>
      <c r="C16" s="23" t="s">
        <v>148</v>
      </c>
      <c r="D16" s="23" t="s">
        <v>173</v>
      </c>
      <c r="E16" s="24" t="s">
        <v>174</v>
      </c>
      <c r="F16" s="25" t="s">
        <v>175</v>
      </c>
      <c r="G16" s="26" t="s">
        <v>119</v>
      </c>
      <c r="H16" s="23" t="s">
        <v>127</v>
      </c>
      <c r="I16" s="27" t="s">
        <v>121</v>
      </c>
      <c r="J16" s="27" t="s">
        <v>176</v>
      </c>
    </row>
    <row r="17" customFormat="false" ht="45.75" hidden="false" customHeight="true" outlineLevel="0" collapsed="false">
      <c r="A17" s="22" t="s">
        <v>177</v>
      </c>
      <c r="B17" s="23" t="s">
        <v>58</v>
      </c>
      <c r="C17" s="23" t="s">
        <v>148</v>
      </c>
      <c r="D17" s="23" t="s">
        <v>178</v>
      </c>
      <c r="E17" s="24" t="s">
        <v>179</v>
      </c>
      <c r="F17" s="25" t="s">
        <v>180</v>
      </c>
      <c r="G17" s="26" t="s">
        <v>119</v>
      </c>
      <c r="H17" s="23" t="s">
        <v>119</v>
      </c>
      <c r="I17" s="27" t="s">
        <v>121</v>
      </c>
      <c r="J17" s="27" t="s">
        <v>181</v>
      </c>
    </row>
    <row r="18" customFormat="false" ht="45.75" hidden="false" customHeight="true" outlineLevel="0" collapsed="false">
      <c r="A18" s="22" t="s">
        <v>182</v>
      </c>
      <c r="B18" s="23" t="s">
        <v>58</v>
      </c>
      <c r="C18" s="23" t="s">
        <v>148</v>
      </c>
      <c r="D18" s="23" t="s">
        <v>183</v>
      </c>
      <c r="E18" s="28" t="s">
        <v>184</v>
      </c>
      <c r="F18" s="29" t="s">
        <v>185</v>
      </c>
      <c r="G18" s="26" t="s">
        <v>119</v>
      </c>
      <c r="H18" s="23" t="s">
        <v>120</v>
      </c>
      <c r="I18" s="27" t="s">
        <v>121</v>
      </c>
      <c r="J18" s="27" t="s">
        <v>186</v>
      </c>
    </row>
    <row r="19" customFormat="false" ht="45.75" hidden="false" customHeight="true" outlineLevel="0" collapsed="false">
      <c r="A19" s="22" t="s">
        <v>187</v>
      </c>
      <c r="B19" s="23" t="s">
        <v>58</v>
      </c>
      <c r="C19" s="23" t="s">
        <v>188</v>
      </c>
      <c r="D19" s="23" t="s">
        <v>189</v>
      </c>
      <c r="E19" s="24" t="s">
        <v>190</v>
      </c>
      <c r="F19" s="25" t="s">
        <v>191</v>
      </c>
      <c r="G19" s="26" t="s">
        <v>119</v>
      </c>
      <c r="H19" s="23" t="s">
        <v>120</v>
      </c>
      <c r="I19" s="27" t="s">
        <v>121</v>
      </c>
      <c r="J19" s="27" t="s">
        <v>192</v>
      </c>
    </row>
    <row r="20" customFormat="false" ht="45.75" hidden="false" customHeight="true" outlineLevel="0" collapsed="false">
      <c r="A20" s="22" t="s">
        <v>193</v>
      </c>
      <c r="B20" s="23" t="s">
        <v>58</v>
      </c>
      <c r="C20" s="23" t="s">
        <v>188</v>
      </c>
      <c r="D20" s="23" t="s">
        <v>189</v>
      </c>
      <c r="E20" s="24" t="s">
        <v>194</v>
      </c>
      <c r="F20" s="25" t="s">
        <v>195</v>
      </c>
      <c r="G20" s="23" t="s">
        <v>120</v>
      </c>
      <c r="H20" s="23" t="s">
        <v>120</v>
      </c>
      <c r="I20" s="27" t="s">
        <v>64</v>
      </c>
      <c r="J20" s="27" t="s">
        <v>196</v>
      </c>
    </row>
    <row r="21" customFormat="false" ht="45.75" hidden="false" customHeight="true" outlineLevel="0" collapsed="false">
      <c r="A21" s="22" t="s">
        <v>197</v>
      </c>
      <c r="B21" s="23" t="s">
        <v>58</v>
      </c>
      <c r="C21" s="23" t="s">
        <v>188</v>
      </c>
      <c r="D21" s="23" t="s">
        <v>198</v>
      </c>
      <c r="E21" s="24" t="s">
        <v>199</v>
      </c>
      <c r="F21" s="25" t="s">
        <v>200</v>
      </c>
      <c r="G21" s="26" t="s">
        <v>119</v>
      </c>
      <c r="H21" s="23" t="s">
        <v>119</v>
      </c>
      <c r="I21" s="27" t="s">
        <v>121</v>
      </c>
      <c r="J21" s="27" t="s">
        <v>201</v>
      </c>
    </row>
    <row r="22" customFormat="false" ht="45.75" hidden="false" customHeight="true" outlineLevel="0" collapsed="false">
      <c r="A22" s="22" t="s">
        <v>202</v>
      </c>
      <c r="B22" s="23" t="s">
        <v>58</v>
      </c>
      <c r="C22" s="23" t="s">
        <v>188</v>
      </c>
      <c r="D22" s="23" t="s">
        <v>198</v>
      </c>
      <c r="E22" s="24" t="s">
        <v>203</v>
      </c>
      <c r="F22" s="25" t="s">
        <v>204</v>
      </c>
      <c r="G22" s="26" t="s">
        <v>119</v>
      </c>
      <c r="H22" s="23" t="s">
        <v>119</v>
      </c>
      <c r="I22" s="27" t="s">
        <v>64</v>
      </c>
      <c r="J22" s="27" t="s">
        <v>205</v>
      </c>
    </row>
    <row r="23" customFormat="false" ht="45.75" hidden="false" customHeight="true" outlineLevel="0" collapsed="false">
      <c r="A23" s="22" t="s">
        <v>206</v>
      </c>
      <c r="B23" s="23" t="s">
        <v>58</v>
      </c>
      <c r="C23" s="23" t="s">
        <v>188</v>
      </c>
      <c r="D23" s="23" t="s">
        <v>207</v>
      </c>
      <c r="E23" s="24" t="s">
        <v>208</v>
      </c>
      <c r="F23" s="25" t="s">
        <v>209</v>
      </c>
      <c r="G23" s="26" t="s">
        <v>119</v>
      </c>
      <c r="H23" s="23" t="s">
        <v>120</v>
      </c>
      <c r="I23" s="27" t="s">
        <v>121</v>
      </c>
      <c r="J23" s="27" t="s">
        <v>210</v>
      </c>
    </row>
    <row r="24" customFormat="false" ht="45.75" hidden="false" customHeight="true" outlineLevel="0" collapsed="false">
      <c r="A24" s="22" t="s">
        <v>211</v>
      </c>
      <c r="B24" s="23" t="s">
        <v>58</v>
      </c>
      <c r="C24" s="23" t="s">
        <v>188</v>
      </c>
      <c r="D24" s="23" t="s">
        <v>207</v>
      </c>
      <c r="E24" s="24" t="s">
        <v>212</v>
      </c>
      <c r="F24" s="25" t="s">
        <v>213</v>
      </c>
      <c r="G24" s="26" t="s">
        <v>119</v>
      </c>
      <c r="H24" s="23" t="s">
        <v>120</v>
      </c>
      <c r="I24" s="27" t="s">
        <v>121</v>
      </c>
      <c r="J24" s="27" t="s">
        <v>214</v>
      </c>
    </row>
    <row r="25" customFormat="false" ht="45.75" hidden="false" customHeight="true" outlineLevel="0" collapsed="false">
      <c r="A25" s="22" t="s">
        <v>215</v>
      </c>
      <c r="B25" s="23" t="s">
        <v>58</v>
      </c>
      <c r="C25" s="23" t="s">
        <v>188</v>
      </c>
      <c r="D25" s="23" t="s">
        <v>216</v>
      </c>
      <c r="E25" s="24" t="s">
        <v>217</v>
      </c>
      <c r="F25" s="25" t="s">
        <v>218</v>
      </c>
      <c r="G25" s="26" t="s">
        <v>119</v>
      </c>
      <c r="H25" s="23" t="s">
        <v>119</v>
      </c>
      <c r="I25" s="27" t="s">
        <v>121</v>
      </c>
      <c r="J25" s="27" t="s">
        <v>219</v>
      </c>
    </row>
    <row r="26" customFormat="false" ht="45.75" hidden="false" customHeight="true" outlineLevel="0" collapsed="false">
      <c r="A26" s="22" t="s">
        <v>220</v>
      </c>
      <c r="B26" s="23" t="s">
        <v>58</v>
      </c>
      <c r="C26" s="23" t="s">
        <v>188</v>
      </c>
      <c r="D26" s="23" t="s">
        <v>221</v>
      </c>
      <c r="E26" s="24" t="s">
        <v>222</v>
      </c>
      <c r="F26" s="25" t="s">
        <v>223</v>
      </c>
      <c r="G26" s="26" t="s">
        <v>119</v>
      </c>
      <c r="H26" s="23" t="s">
        <v>120</v>
      </c>
      <c r="I26" s="27" t="s">
        <v>121</v>
      </c>
      <c r="J26" s="27" t="s">
        <v>224</v>
      </c>
    </row>
    <row r="27" customFormat="false" ht="45.75" hidden="false" customHeight="true" outlineLevel="0" collapsed="false">
      <c r="A27" s="22" t="s">
        <v>225</v>
      </c>
      <c r="B27" s="23" t="s">
        <v>58</v>
      </c>
      <c r="C27" s="23" t="s">
        <v>188</v>
      </c>
      <c r="D27" s="23" t="s">
        <v>226</v>
      </c>
      <c r="E27" s="24" t="s">
        <v>227</v>
      </c>
      <c r="F27" s="25" t="s">
        <v>228</v>
      </c>
      <c r="G27" s="26" t="s">
        <v>119</v>
      </c>
      <c r="H27" s="23" t="s">
        <v>120</v>
      </c>
      <c r="I27" s="27" t="s">
        <v>121</v>
      </c>
      <c r="J27" s="27" t="s">
        <v>229</v>
      </c>
    </row>
    <row r="28" customFormat="false" ht="45.75" hidden="false" customHeight="true" outlineLevel="0" collapsed="false">
      <c r="A28" s="22" t="s">
        <v>230</v>
      </c>
      <c r="B28" s="23" t="s">
        <v>58</v>
      </c>
      <c r="C28" s="23" t="s">
        <v>188</v>
      </c>
      <c r="D28" s="23" t="s">
        <v>231</v>
      </c>
      <c r="E28" s="24" t="s">
        <v>232</v>
      </c>
      <c r="F28" s="25" t="s">
        <v>233</v>
      </c>
      <c r="G28" s="23" t="s">
        <v>120</v>
      </c>
      <c r="H28" s="23" t="s">
        <v>120</v>
      </c>
      <c r="I28" s="27" t="s">
        <v>64</v>
      </c>
      <c r="J28" s="27" t="s">
        <v>234</v>
      </c>
    </row>
    <row r="29" customFormat="false" ht="45.75" hidden="false" customHeight="true" outlineLevel="0" collapsed="false">
      <c r="A29" s="22" t="s">
        <v>235</v>
      </c>
      <c r="B29" s="23" t="s">
        <v>58</v>
      </c>
      <c r="C29" s="23" t="s">
        <v>188</v>
      </c>
      <c r="D29" s="23" t="s">
        <v>236</v>
      </c>
      <c r="E29" s="24" t="s">
        <v>237</v>
      </c>
      <c r="F29" s="25" t="s">
        <v>238</v>
      </c>
      <c r="G29" s="26" t="s">
        <v>119</v>
      </c>
      <c r="H29" s="23" t="s">
        <v>120</v>
      </c>
      <c r="I29" s="27" t="s">
        <v>121</v>
      </c>
      <c r="J29" s="27" t="s">
        <v>239</v>
      </c>
    </row>
    <row r="30" customFormat="false" ht="45.75" hidden="false" customHeight="true" outlineLevel="0" collapsed="false">
      <c r="A30" s="22" t="s">
        <v>240</v>
      </c>
      <c r="B30" s="23" t="s">
        <v>58</v>
      </c>
      <c r="C30" s="23" t="s">
        <v>188</v>
      </c>
      <c r="D30" s="23" t="s">
        <v>241</v>
      </c>
      <c r="E30" s="28" t="s">
        <v>242</v>
      </c>
      <c r="F30" s="25" t="s">
        <v>243</v>
      </c>
      <c r="G30" s="23" t="s">
        <v>120</v>
      </c>
      <c r="H30" s="23" t="s">
        <v>127</v>
      </c>
      <c r="I30" s="27" t="s">
        <v>64</v>
      </c>
      <c r="J30" s="27" t="s">
        <v>244</v>
      </c>
    </row>
    <row r="31" customFormat="false" ht="45.75" hidden="false" customHeight="true" outlineLevel="0" collapsed="false">
      <c r="A31" s="22" t="s">
        <v>245</v>
      </c>
      <c r="B31" s="23" t="s">
        <v>58</v>
      </c>
      <c r="C31" s="23" t="s">
        <v>246</v>
      </c>
      <c r="D31" s="23" t="s">
        <v>247</v>
      </c>
      <c r="E31" s="24" t="s">
        <v>248</v>
      </c>
      <c r="F31" s="25" t="s">
        <v>249</v>
      </c>
      <c r="G31" s="26" t="s">
        <v>119</v>
      </c>
      <c r="H31" s="23" t="s">
        <v>120</v>
      </c>
      <c r="I31" s="27" t="s">
        <v>121</v>
      </c>
      <c r="J31" s="27" t="s">
        <v>250</v>
      </c>
    </row>
    <row r="32" customFormat="false" ht="45.75" hidden="false" customHeight="true" outlineLevel="0" collapsed="false">
      <c r="A32" s="22" t="s">
        <v>251</v>
      </c>
      <c r="B32" s="23" t="s">
        <v>58</v>
      </c>
      <c r="C32" s="23" t="s">
        <v>246</v>
      </c>
      <c r="D32" s="23" t="s">
        <v>247</v>
      </c>
      <c r="E32" s="24" t="s">
        <v>252</v>
      </c>
      <c r="F32" s="25" t="s">
        <v>253</v>
      </c>
      <c r="G32" s="26" t="s">
        <v>119</v>
      </c>
      <c r="H32" s="23" t="s">
        <v>119</v>
      </c>
      <c r="I32" s="27" t="s">
        <v>121</v>
      </c>
      <c r="J32" s="27" t="s">
        <v>254</v>
      </c>
    </row>
    <row r="33" customFormat="false" ht="45.75" hidden="false" customHeight="true" outlineLevel="0" collapsed="false">
      <c r="A33" s="22" t="s">
        <v>255</v>
      </c>
      <c r="B33" s="23" t="s">
        <v>58</v>
      </c>
      <c r="C33" s="23" t="s">
        <v>246</v>
      </c>
      <c r="D33" s="23" t="s">
        <v>256</v>
      </c>
      <c r="E33" s="24" t="s">
        <v>257</v>
      </c>
      <c r="F33" s="25" t="s">
        <v>258</v>
      </c>
      <c r="G33" s="26" t="s">
        <v>119</v>
      </c>
      <c r="H33" s="23" t="s">
        <v>119</v>
      </c>
      <c r="I33" s="27" t="s">
        <v>121</v>
      </c>
      <c r="J33" s="27" t="s">
        <v>259</v>
      </c>
    </row>
    <row r="34" customFormat="false" ht="45.75" hidden="false" customHeight="true" outlineLevel="0" collapsed="false">
      <c r="A34" s="22" t="s">
        <v>260</v>
      </c>
      <c r="B34" s="23" t="s">
        <v>58</v>
      </c>
      <c r="C34" s="23" t="s">
        <v>246</v>
      </c>
      <c r="D34" s="23" t="s">
        <v>261</v>
      </c>
      <c r="E34" s="24" t="s">
        <v>262</v>
      </c>
      <c r="F34" s="29" t="s">
        <v>263</v>
      </c>
      <c r="G34" s="23" t="s">
        <v>120</v>
      </c>
      <c r="H34" s="23" t="s">
        <v>120</v>
      </c>
      <c r="I34" s="27" t="s">
        <v>64</v>
      </c>
      <c r="J34" s="27" t="s">
        <v>264</v>
      </c>
    </row>
    <row r="35" customFormat="false" ht="45.75" hidden="false" customHeight="true" outlineLevel="0" collapsed="false">
      <c r="A35" s="22" t="s">
        <v>265</v>
      </c>
      <c r="B35" s="23" t="s">
        <v>58</v>
      </c>
      <c r="C35" s="23" t="s">
        <v>246</v>
      </c>
      <c r="D35" s="23" t="s">
        <v>266</v>
      </c>
      <c r="E35" s="24" t="s">
        <v>267</v>
      </c>
      <c r="F35" s="25" t="s">
        <v>268</v>
      </c>
      <c r="G35" s="23" t="s">
        <v>120</v>
      </c>
      <c r="H35" s="23" t="s">
        <v>119</v>
      </c>
      <c r="I35" s="27" t="s">
        <v>67</v>
      </c>
      <c r="J35" s="27" t="s">
        <v>269</v>
      </c>
    </row>
    <row r="36" customFormat="false" ht="45.75" hidden="false" customHeight="true" outlineLevel="0" collapsed="false">
      <c r="A36" s="22" t="s">
        <v>270</v>
      </c>
      <c r="B36" s="23" t="s">
        <v>58</v>
      </c>
      <c r="C36" s="23" t="s">
        <v>246</v>
      </c>
      <c r="D36" s="23" t="s">
        <v>247</v>
      </c>
      <c r="E36" s="24" t="s">
        <v>271</v>
      </c>
      <c r="F36" s="25" t="s">
        <v>272</v>
      </c>
      <c r="G36" s="23" t="s">
        <v>127</v>
      </c>
      <c r="H36" s="23" t="s">
        <v>120</v>
      </c>
      <c r="I36" s="27" t="s">
        <v>67</v>
      </c>
      <c r="J36" s="27" t="s">
        <v>273</v>
      </c>
    </row>
    <row r="37" customFormat="false" ht="45.75" hidden="false" customHeight="true" outlineLevel="0" collapsed="false">
      <c r="A37" s="22" t="s">
        <v>274</v>
      </c>
      <c r="B37" s="23" t="s">
        <v>58</v>
      </c>
      <c r="C37" s="23" t="s">
        <v>246</v>
      </c>
      <c r="D37" s="23" t="s">
        <v>275</v>
      </c>
      <c r="E37" s="24" t="s">
        <v>276</v>
      </c>
      <c r="F37" s="25" t="s">
        <v>277</v>
      </c>
      <c r="G37" s="23" t="s">
        <v>120</v>
      </c>
      <c r="H37" s="23" t="s">
        <v>120</v>
      </c>
      <c r="I37" s="27" t="s">
        <v>64</v>
      </c>
      <c r="J37" s="27" t="s">
        <v>278</v>
      </c>
    </row>
    <row r="38" customFormat="false" ht="45.75" hidden="false" customHeight="true" outlineLevel="0" collapsed="false">
      <c r="A38" s="22" t="s">
        <v>279</v>
      </c>
      <c r="B38" s="23" t="s">
        <v>58</v>
      </c>
      <c r="C38" s="23" t="s">
        <v>280</v>
      </c>
      <c r="D38" s="23" t="s">
        <v>281</v>
      </c>
      <c r="E38" s="24" t="s">
        <v>282</v>
      </c>
      <c r="F38" s="25" t="s">
        <v>283</v>
      </c>
      <c r="G38" s="26" t="s">
        <v>119</v>
      </c>
      <c r="H38" s="23" t="s">
        <v>120</v>
      </c>
      <c r="I38" s="27" t="s">
        <v>121</v>
      </c>
      <c r="J38" s="27" t="s">
        <v>284</v>
      </c>
    </row>
    <row r="39" customFormat="false" ht="45.75" hidden="false" customHeight="true" outlineLevel="0" collapsed="false">
      <c r="A39" s="22" t="s">
        <v>285</v>
      </c>
      <c r="B39" s="23" t="s">
        <v>58</v>
      </c>
      <c r="C39" s="23" t="s">
        <v>280</v>
      </c>
      <c r="D39" s="23" t="s">
        <v>286</v>
      </c>
      <c r="E39" s="24" t="s">
        <v>287</v>
      </c>
      <c r="F39" s="25" t="s">
        <v>288</v>
      </c>
      <c r="G39" s="23" t="s">
        <v>120</v>
      </c>
      <c r="H39" s="23" t="s">
        <v>120</v>
      </c>
      <c r="I39" s="27" t="s">
        <v>64</v>
      </c>
      <c r="J39" s="27" t="s">
        <v>289</v>
      </c>
    </row>
    <row r="40" customFormat="false" ht="45.75" hidden="false" customHeight="true" outlineLevel="0" collapsed="false">
      <c r="A40" s="22" t="s">
        <v>290</v>
      </c>
      <c r="B40" s="23" t="s">
        <v>58</v>
      </c>
      <c r="C40" s="23" t="s">
        <v>280</v>
      </c>
      <c r="D40" s="23" t="s">
        <v>291</v>
      </c>
      <c r="E40" s="24" t="s">
        <v>292</v>
      </c>
      <c r="F40" s="25" t="s">
        <v>293</v>
      </c>
      <c r="G40" s="23" t="s">
        <v>120</v>
      </c>
      <c r="H40" s="23" t="s">
        <v>120</v>
      </c>
      <c r="I40" s="27" t="s">
        <v>64</v>
      </c>
      <c r="J40" s="27" t="s">
        <v>294</v>
      </c>
    </row>
    <row r="41" customFormat="false" ht="45.75" hidden="false" customHeight="true" outlineLevel="0" collapsed="false">
      <c r="A41" s="22" t="s">
        <v>295</v>
      </c>
      <c r="B41" s="23" t="s">
        <v>58</v>
      </c>
      <c r="C41" s="23" t="s">
        <v>280</v>
      </c>
      <c r="D41" s="23" t="s">
        <v>281</v>
      </c>
      <c r="E41" s="24" t="s">
        <v>296</v>
      </c>
      <c r="F41" s="25" t="s">
        <v>297</v>
      </c>
      <c r="G41" s="23" t="s">
        <v>120</v>
      </c>
      <c r="H41" s="23" t="s">
        <v>120</v>
      </c>
      <c r="I41" s="27" t="s">
        <v>64</v>
      </c>
      <c r="J41" s="27" t="s">
        <v>298</v>
      </c>
    </row>
    <row r="42" customFormat="false" ht="45.75" hidden="false" customHeight="true" outlineLevel="0" collapsed="false">
      <c r="A42" s="22" t="s">
        <v>299</v>
      </c>
      <c r="B42" s="23" t="s">
        <v>58</v>
      </c>
      <c r="C42" s="23" t="s">
        <v>280</v>
      </c>
      <c r="D42" s="23" t="s">
        <v>300</v>
      </c>
      <c r="E42" s="24" t="s">
        <v>301</v>
      </c>
      <c r="F42" s="25" t="s">
        <v>302</v>
      </c>
      <c r="G42" s="23" t="s">
        <v>127</v>
      </c>
      <c r="H42" s="23" t="s">
        <v>120</v>
      </c>
      <c r="I42" s="27" t="s">
        <v>67</v>
      </c>
      <c r="J42" s="27" t="s">
        <v>303</v>
      </c>
    </row>
    <row r="43" customFormat="false" ht="54" hidden="false" customHeight="true" outlineLevel="0" collapsed="false">
      <c r="A43" s="22" t="s">
        <v>304</v>
      </c>
      <c r="B43" s="23" t="s">
        <v>58</v>
      </c>
      <c r="C43" s="23" t="s">
        <v>305</v>
      </c>
      <c r="D43" s="27" t="s">
        <v>79</v>
      </c>
      <c r="E43" s="28" t="s">
        <v>306</v>
      </c>
      <c r="F43" s="25" t="s">
        <v>307</v>
      </c>
      <c r="G43" s="26" t="s">
        <v>119</v>
      </c>
      <c r="H43" s="23" t="s">
        <v>119</v>
      </c>
      <c r="I43" s="27" t="s">
        <v>64</v>
      </c>
      <c r="J43" s="27" t="s">
        <v>308</v>
      </c>
    </row>
    <row r="44" customFormat="false" ht="45.75" hidden="false" customHeight="true" outlineLevel="0" collapsed="false">
      <c r="A44" s="22" t="s">
        <v>309</v>
      </c>
      <c r="B44" s="23" t="s">
        <v>58</v>
      </c>
      <c r="C44" s="23" t="s">
        <v>305</v>
      </c>
      <c r="D44" s="23" t="s">
        <v>310</v>
      </c>
      <c r="E44" s="24" t="s">
        <v>311</v>
      </c>
      <c r="F44" s="25" t="s">
        <v>312</v>
      </c>
      <c r="G44" s="26" t="s">
        <v>119</v>
      </c>
      <c r="H44" s="23" t="s">
        <v>119</v>
      </c>
      <c r="I44" s="27" t="s">
        <v>64</v>
      </c>
      <c r="J44" s="27" t="s">
        <v>313</v>
      </c>
    </row>
    <row r="45" customFormat="false" ht="45.75" hidden="false" customHeight="true" outlineLevel="0" collapsed="false">
      <c r="A45" s="22" t="s">
        <v>314</v>
      </c>
      <c r="B45" s="23" t="s">
        <v>58</v>
      </c>
      <c r="C45" s="23" t="s">
        <v>305</v>
      </c>
      <c r="D45" s="23" t="s">
        <v>315</v>
      </c>
      <c r="E45" s="24" t="s">
        <v>316</v>
      </c>
      <c r="F45" s="25" t="s">
        <v>317</v>
      </c>
      <c r="G45" s="26" t="s">
        <v>119</v>
      </c>
      <c r="H45" s="23" t="s">
        <v>119</v>
      </c>
      <c r="I45" s="27" t="s">
        <v>64</v>
      </c>
      <c r="J45" s="27" t="s">
        <v>318</v>
      </c>
    </row>
    <row r="46" customFormat="false" ht="45.75" hidden="false" customHeight="true" outlineLevel="0" collapsed="false">
      <c r="A46" s="22" t="s">
        <v>319</v>
      </c>
      <c r="B46" s="23" t="s">
        <v>58</v>
      </c>
      <c r="C46" s="23" t="s">
        <v>305</v>
      </c>
      <c r="D46" s="23" t="s">
        <v>320</v>
      </c>
      <c r="E46" s="24" t="s">
        <v>321</v>
      </c>
      <c r="F46" s="25" t="s">
        <v>322</v>
      </c>
      <c r="G46" s="26" t="s">
        <v>119</v>
      </c>
      <c r="H46" s="23" t="s">
        <v>119</v>
      </c>
      <c r="I46" s="27" t="s">
        <v>64</v>
      </c>
      <c r="J46" s="27" t="s">
        <v>323</v>
      </c>
    </row>
    <row r="47" customFormat="false" ht="45.75" hidden="false" customHeight="true" outlineLevel="0" collapsed="false">
      <c r="A47" s="22" t="s">
        <v>324</v>
      </c>
      <c r="B47" s="23" t="s">
        <v>58</v>
      </c>
      <c r="C47" s="23" t="s">
        <v>305</v>
      </c>
      <c r="D47" s="23" t="s">
        <v>325</v>
      </c>
      <c r="E47" s="24" t="s">
        <v>326</v>
      </c>
      <c r="F47" s="25" t="s">
        <v>327</v>
      </c>
      <c r="G47" s="23" t="s">
        <v>120</v>
      </c>
      <c r="H47" s="23" t="s">
        <v>119</v>
      </c>
      <c r="I47" s="27" t="s">
        <v>67</v>
      </c>
      <c r="J47" s="27" t="s">
        <v>328</v>
      </c>
    </row>
    <row r="48" customFormat="false" ht="45.75" hidden="false" customHeight="true" outlineLevel="0" collapsed="false">
      <c r="A48" s="22" t="s">
        <v>329</v>
      </c>
      <c r="B48" s="23" t="s">
        <v>58</v>
      </c>
      <c r="C48" s="23" t="s">
        <v>305</v>
      </c>
      <c r="D48" s="27" t="s">
        <v>330</v>
      </c>
      <c r="E48" s="24" t="s">
        <v>331</v>
      </c>
      <c r="F48" s="25" t="s">
        <v>332</v>
      </c>
      <c r="G48" s="26" t="s">
        <v>119</v>
      </c>
      <c r="H48" s="23" t="s">
        <v>120</v>
      </c>
      <c r="I48" s="27" t="s">
        <v>64</v>
      </c>
      <c r="J48" s="27" t="s">
        <v>333</v>
      </c>
    </row>
    <row r="49" customFormat="false" ht="45.75" hidden="false" customHeight="true" outlineLevel="0" collapsed="false">
      <c r="A49" s="22" t="s">
        <v>334</v>
      </c>
      <c r="B49" s="23" t="s">
        <v>58</v>
      </c>
      <c r="C49" s="23" t="s">
        <v>305</v>
      </c>
      <c r="D49" s="23" t="s">
        <v>168</v>
      </c>
      <c r="E49" s="24" t="s">
        <v>335</v>
      </c>
      <c r="F49" s="25" t="s">
        <v>336</v>
      </c>
      <c r="G49" s="26" t="s">
        <v>119</v>
      </c>
      <c r="H49" s="23" t="s">
        <v>120</v>
      </c>
      <c r="I49" s="27" t="s">
        <v>64</v>
      </c>
      <c r="J49" s="27" t="s">
        <v>337</v>
      </c>
    </row>
    <row r="50" customFormat="false" ht="45.75" hidden="false" customHeight="true" outlineLevel="0" collapsed="false">
      <c r="A50" s="22" t="s">
        <v>338</v>
      </c>
      <c r="B50" s="23" t="s">
        <v>58</v>
      </c>
      <c r="C50" s="23" t="s">
        <v>305</v>
      </c>
      <c r="D50" s="23" t="s">
        <v>339</v>
      </c>
      <c r="E50" s="24" t="s">
        <v>340</v>
      </c>
      <c r="F50" s="25" t="s">
        <v>341</v>
      </c>
      <c r="G50" s="23" t="s">
        <v>127</v>
      </c>
      <c r="H50" s="23" t="s">
        <v>120</v>
      </c>
      <c r="I50" s="27" t="s">
        <v>67</v>
      </c>
      <c r="J50" s="27" t="s">
        <v>342</v>
      </c>
    </row>
    <row r="51" customFormat="false" ht="45.75" hidden="false" customHeight="true" outlineLevel="0" collapsed="false">
      <c r="A51" s="22" t="s">
        <v>343</v>
      </c>
      <c r="B51" s="23" t="s">
        <v>58</v>
      </c>
      <c r="C51" s="23" t="s">
        <v>305</v>
      </c>
      <c r="D51" s="23" t="s">
        <v>344</v>
      </c>
      <c r="E51" s="24" t="s">
        <v>345</v>
      </c>
      <c r="F51" s="25" t="s">
        <v>346</v>
      </c>
      <c r="G51" s="23" t="s">
        <v>127</v>
      </c>
      <c r="H51" s="23" t="s">
        <v>120</v>
      </c>
      <c r="I51" s="27" t="s">
        <v>67</v>
      </c>
      <c r="J51" s="27" t="s">
        <v>347</v>
      </c>
    </row>
    <row r="52" customFormat="false" ht="45.75" hidden="false" customHeight="true" outlineLevel="0" collapsed="false">
      <c r="A52" s="22" t="s">
        <v>348</v>
      </c>
      <c r="B52" s="23" t="s">
        <v>58</v>
      </c>
      <c r="C52" s="23" t="s">
        <v>349</v>
      </c>
      <c r="D52" s="23" t="s">
        <v>350</v>
      </c>
      <c r="E52" s="24" t="s">
        <v>351</v>
      </c>
      <c r="F52" s="25" t="s">
        <v>352</v>
      </c>
      <c r="G52" s="26" t="s">
        <v>119</v>
      </c>
      <c r="H52" s="23" t="s">
        <v>120</v>
      </c>
      <c r="I52" s="27" t="s">
        <v>64</v>
      </c>
      <c r="J52" s="27" t="s">
        <v>353</v>
      </c>
    </row>
    <row r="53" customFormat="false" ht="45.75" hidden="false" customHeight="true" outlineLevel="0" collapsed="false">
      <c r="A53" s="22" t="s">
        <v>354</v>
      </c>
      <c r="B53" s="23" t="s">
        <v>58</v>
      </c>
      <c r="C53" s="23" t="s">
        <v>349</v>
      </c>
      <c r="D53" s="23" t="s">
        <v>355</v>
      </c>
      <c r="E53" s="24" t="s">
        <v>356</v>
      </c>
      <c r="F53" s="25" t="s">
        <v>357</v>
      </c>
      <c r="G53" s="23" t="s">
        <v>120</v>
      </c>
      <c r="H53" s="23" t="s">
        <v>127</v>
      </c>
      <c r="I53" s="27" t="s">
        <v>67</v>
      </c>
      <c r="J53" s="27" t="s">
        <v>358</v>
      </c>
    </row>
    <row r="54" customFormat="false" ht="45.75" hidden="false" customHeight="true" outlineLevel="0" collapsed="false">
      <c r="A54" s="22" t="s">
        <v>359</v>
      </c>
      <c r="B54" s="23" t="s">
        <v>58</v>
      </c>
      <c r="C54" s="23" t="s">
        <v>349</v>
      </c>
      <c r="D54" s="23" t="s">
        <v>360</v>
      </c>
      <c r="E54" s="24" t="s">
        <v>361</v>
      </c>
      <c r="F54" s="25" t="s">
        <v>362</v>
      </c>
      <c r="G54" s="23" t="s">
        <v>120</v>
      </c>
      <c r="H54" s="23" t="s">
        <v>120</v>
      </c>
      <c r="I54" s="27" t="s">
        <v>67</v>
      </c>
      <c r="J54" s="27" t="s">
        <v>363</v>
      </c>
    </row>
    <row r="55" customFormat="false" ht="45.75" hidden="false" customHeight="true" outlineLevel="0" collapsed="false">
      <c r="A55" s="22" t="s">
        <v>364</v>
      </c>
      <c r="B55" s="23" t="s">
        <v>58</v>
      </c>
      <c r="C55" s="23" t="s">
        <v>349</v>
      </c>
      <c r="D55" s="23" t="s">
        <v>315</v>
      </c>
      <c r="E55" s="24" t="s">
        <v>365</v>
      </c>
      <c r="F55" s="25" t="s">
        <v>366</v>
      </c>
      <c r="G55" s="23" t="s">
        <v>120</v>
      </c>
      <c r="H55" s="23" t="s">
        <v>120</v>
      </c>
      <c r="I55" s="27" t="s">
        <v>64</v>
      </c>
      <c r="J55" s="27" t="s">
        <v>367</v>
      </c>
    </row>
    <row r="56" customFormat="false" ht="45.75" hidden="false" customHeight="true" outlineLevel="0" collapsed="false">
      <c r="A56" s="22" t="s">
        <v>368</v>
      </c>
      <c r="B56" s="23" t="s">
        <v>58</v>
      </c>
      <c r="C56" s="23" t="s">
        <v>349</v>
      </c>
      <c r="D56" s="23" t="s">
        <v>369</v>
      </c>
      <c r="E56" s="24" t="s">
        <v>370</v>
      </c>
      <c r="F56" s="25" t="s">
        <v>371</v>
      </c>
      <c r="G56" s="23" t="s">
        <v>127</v>
      </c>
      <c r="H56" s="23" t="s">
        <v>119</v>
      </c>
      <c r="I56" s="27" t="s">
        <v>67</v>
      </c>
      <c r="J56" s="27" t="s">
        <v>372</v>
      </c>
    </row>
    <row r="57" customFormat="false" ht="45.75" hidden="false" customHeight="true" outlineLevel="0" collapsed="false">
      <c r="A57" s="22" t="s">
        <v>373</v>
      </c>
      <c r="B57" s="23" t="s">
        <v>58</v>
      </c>
      <c r="C57" s="23" t="s">
        <v>349</v>
      </c>
      <c r="D57" s="23" t="s">
        <v>374</v>
      </c>
      <c r="E57" s="24" t="s">
        <v>375</v>
      </c>
      <c r="F57" s="25" t="s">
        <v>376</v>
      </c>
      <c r="G57" s="23" t="s">
        <v>127</v>
      </c>
      <c r="H57" s="23" t="s">
        <v>120</v>
      </c>
      <c r="I57" s="27" t="s">
        <v>67</v>
      </c>
      <c r="J57" s="27" t="s">
        <v>377</v>
      </c>
    </row>
    <row r="58" customFormat="false" ht="45.75" hidden="false" customHeight="true" outlineLevel="0" collapsed="false">
      <c r="A58" s="22" t="s">
        <v>378</v>
      </c>
      <c r="B58" s="23" t="s">
        <v>58</v>
      </c>
      <c r="C58" s="23" t="s">
        <v>379</v>
      </c>
      <c r="D58" s="23" t="s">
        <v>380</v>
      </c>
      <c r="E58" s="24" t="s">
        <v>381</v>
      </c>
      <c r="F58" s="25" t="s">
        <v>382</v>
      </c>
      <c r="G58" s="23" t="s">
        <v>120</v>
      </c>
      <c r="H58" s="23" t="s">
        <v>120</v>
      </c>
      <c r="I58" s="27" t="s">
        <v>67</v>
      </c>
      <c r="J58" s="27" t="s">
        <v>383</v>
      </c>
    </row>
    <row r="59" customFormat="false" ht="45.75" hidden="false" customHeight="true" outlineLevel="0" collapsed="false">
      <c r="A59" s="22" t="s">
        <v>384</v>
      </c>
      <c r="B59" s="23" t="s">
        <v>58</v>
      </c>
      <c r="C59" s="23" t="s">
        <v>379</v>
      </c>
      <c r="D59" s="23" t="s">
        <v>385</v>
      </c>
      <c r="E59" s="24" t="s">
        <v>386</v>
      </c>
      <c r="F59" s="25" t="s">
        <v>387</v>
      </c>
      <c r="G59" s="23" t="s">
        <v>120</v>
      </c>
      <c r="H59" s="23" t="s">
        <v>119</v>
      </c>
      <c r="I59" s="27" t="s">
        <v>67</v>
      </c>
      <c r="J59" s="27" t="s">
        <v>388</v>
      </c>
    </row>
    <row r="60" customFormat="false" ht="45.75" hidden="false" customHeight="true" outlineLevel="0" collapsed="false">
      <c r="A60" s="22" t="s">
        <v>389</v>
      </c>
      <c r="B60" s="23" t="s">
        <v>58</v>
      </c>
      <c r="C60" s="23" t="s">
        <v>379</v>
      </c>
      <c r="D60" s="23" t="s">
        <v>385</v>
      </c>
      <c r="E60" s="24" t="s">
        <v>390</v>
      </c>
      <c r="F60" s="25" t="s">
        <v>391</v>
      </c>
      <c r="G60" s="23" t="s">
        <v>120</v>
      </c>
      <c r="H60" s="23" t="s">
        <v>120</v>
      </c>
      <c r="I60" s="27" t="s">
        <v>67</v>
      </c>
      <c r="J60" s="27" t="s">
        <v>392</v>
      </c>
    </row>
    <row r="61" customFormat="false" ht="45.75" hidden="false" customHeight="true" outlineLevel="0" collapsed="false">
      <c r="A61" s="22" t="s">
        <v>393</v>
      </c>
      <c r="B61" s="23" t="s">
        <v>58</v>
      </c>
      <c r="C61" s="23" t="s">
        <v>379</v>
      </c>
      <c r="D61" s="23" t="s">
        <v>394</v>
      </c>
      <c r="E61" s="24" t="s">
        <v>395</v>
      </c>
      <c r="F61" s="25" t="s">
        <v>396</v>
      </c>
      <c r="G61" s="23" t="s">
        <v>120</v>
      </c>
      <c r="H61" s="23" t="s">
        <v>120</v>
      </c>
      <c r="I61" s="27" t="s">
        <v>67</v>
      </c>
      <c r="J61" s="27" t="s">
        <v>397</v>
      </c>
    </row>
    <row r="62" customFormat="false" ht="45.75" hidden="false" customHeight="true" outlineLevel="0" collapsed="false">
      <c r="A62" s="22" t="s">
        <v>398</v>
      </c>
      <c r="B62" s="23" t="s">
        <v>58</v>
      </c>
      <c r="C62" s="23" t="s">
        <v>379</v>
      </c>
      <c r="D62" s="23" t="s">
        <v>374</v>
      </c>
      <c r="E62" s="24" t="s">
        <v>399</v>
      </c>
      <c r="F62" s="25" t="s">
        <v>400</v>
      </c>
      <c r="G62" s="23" t="s">
        <v>127</v>
      </c>
      <c r="H62" s="23" t="s">
        <v>120</v>
      </c>
      <c r="I62" s="27" t="s">
        <v>67</v>
      </c>
      <c r="J62" s="27" t="s">
        <v>401</v>
      </c>
    </row>
    <row r="63" customFormat="false" ht="45.75" hidden="false" customHeight="true" outlineLevel="0" collapsed="false">
      <c r="A63" s="22" t="s">
        <v>402</v>
      </c>
      <c r="B63" s="23" t="s">
        <v>58</v>
      </c>
      <c r="C63" s="23" t="s">
        <v>379</v>
      </c>
      <c r="D63" s="23" t="s">
        <v>173</v>
      </c>
      <c r="E63" s="24" t="s">
        <v>403</v>
      </c>
      <c r="F63" s="25" t="s">
        <v>404</v>
      </c>
      <c r="G63" s="23" t="s">
        <v>120</v>
      </c>
      <c r="H63" s="23" t="s">
        <v>127</v>
      </c>
      <c r="I63" s="27" t="s">
        <v>67</v>
      </c>
      <c r="J63" s="27" t="s">
        <v>405</v>
      </c>
    </row>
    <row r="64" customFormat="false" ht="45.75" hidden="false" customHeight="true" outlineLevel="0" collapsed="false">
      <c r="A64" s="22" t="s">
        <v>406</v>
      </c>
      <c r="B64" s="23" t="s">
        <v>58</v>
      </c>
      <c r="C64" s="23" t="s">
        <v>379</v>
      </c>
      <c r="D64" s="23" t="s">
        <v>360</v>
      </c>
      <c r="E64" s="24" t="s">
        <v>407</v>
      </c>
      <c r="F64" s="25" t="s">
        <v>408</v>
      </c>
      <c r="G64" s="23" t="s">
        <v>127</v>
      </c>
      <c r="H64" s="23" t="s">
        <v>127</v>
      </c>
      <c r="I64" s="27" t="s">
        <v>67</v>
      </c>
      <c r="J64" s="27" t="s">
        <v>409</v>
      </c>
    </row>
    <row r="65" customFormat="false" ht="45.75" hidden="false" customHeight="true" outlineLevel="0" collapsed="false">
      <c r="A65" s="22" t="s">
        <v>410</v>
      </c>
      <c r="B65" s="23" t="s">
        <v>58</v>
      </c>
      <c r="C65" s="23" t="s">
        <v>411</v>
      </c>
      <c r="D65" s="23" t="s">
        <v>412</v>
      </c>
      <c r="E65" s="24" t="s">
        <v>413</v>
      </c>
      <c r="F65" s="25" t="s">
        <v>414</v>
      </c>
      <c r="G65" s="26" t="s">
        <v>119</v>
      </c>
      <c r="H65" s="23" t="s">
        <v>119</v>
      </c>
      <c r="I65" s="27" t="s">
        <v>121</v>
      </c>
      <c r="J65" s="27" t="s">
        <v>415</v>
      </c>
    </row>
    <row r="66" customFormat="false" ht="45.75" hidden="false" customHeight="true" outlineLevel="0" collapsed="false">
      <c r="A66" s="22" t="s">
        <v>416</v>
      </c>
      <c r="B66" s="23" t="s">
        <v>58</v>
      </c>
      <c r="C66" s="23" t="s">
        <v>411</v>
      </c>
      <c r="D66" s="23" t="s">
        <v>412</v>
      </c>
      <c r="E66" s="24" t="s">
        <v>417</v>
      </c>
      <c r="F66" s="25" t="s">
        <v>418</v>
      </c>
      <c r="G66" s="23" t="s">
        <v>120</v>
      </c>
      <c r="H66" s="23" t="s">
        <v>120</v>
      </c>
      <c r="I66" s="27" t="s">
        <v>67</v>
      </c>
      <c r="J66" s="27" t="s">
        <v>419</v>
      </c>
    </row>
    <row r="67" customFormat="false" ht="45.75" hidden="false" customHeight="true" outlineLevel="0" collapsed="false">
      <c r="A67" s="22" t="s">
        <v>420</v>
      </c>
      <c r="B67" s="23" t="s">
        <v>58</v>
      </c>
      <c r="C67" s="23" t="s">
        <v>411</v>
      </c>
      <c r="D67" s="23" t="s">
        <v>421</v>
      </c>
      <c r="E67" s="24" t="s">
        <v>422</v>
      </c>
      <c r="F67" s="25" t="s">
        <v>423</v>
      </c>
      <c r="G67" s="23" t="s">
        <v>120</v>
      </c>
      <c r="H67" s="23" t="s">
        <v>120</v>
      </c>
      <c r="I67" s="27" t="s">
        <v>64</v>
      </c>
      <c r="J67" s="27" t="s">
        <v>424</v>
      </c>
    </row>
    <row r="68" customFormat="false" ht="45.75" hidden="false" customHeight="true" outlineLevel="0" collapsed="false">
      <c r="A68" s="22" t="s">
        <v>425</v>
      </c>
      <c r="B68" s="23" t="s">
        <v>58</v>
      </c>
      <c r="C68" s="23" t="s">
        <v>411</v>
      </c>
      <c r="D68" s="23" t="s">
        <v>421</v>
      </c>
      <c r="E68" s="28" t="s">
        <v>426</v>
      </c>
      <c r="F68" s="25" t="s">
        <v>427</v>
      </c>
      <c r="G68" s="23" t="s">
        <v>120</v>
      </c>
      <c r="H68" s="23" t="s">
        <v>127</v>
      </c>
      <c r="I68" s="27" t="s">
        <v>64</v>
      </c>
      <c r="J68" s="27" t="s">
        <v>428</v>
      </c>
    </row>
    <row r="69" customFormat="false" ht="45.75" hidden="false" customHeight="true" outlineLevel="0" collapsed="false">
      <c r="A69" s="22" t="s">
        <v>429</v>
      </c>
      <c r="B69" s="23" t="s">
        <v>58</v>
      </c>
      <c r="C69" s="23" t="s">
        <v>411</v>
      </c>
      <c r="D69" s="23" t="s">
        <v>344</v>
      </c>
      <c r="E69" s="24" t="s">
        <v>430</v>
      </c>
      <c r="F69" s="25" t="s">
        <v>431</v>
      </c>
      <c r="G69" s="23" t="s">
        <v>120</v>
      </c>
      <c r="H69" s="23" t="s">
        <v>120</v>
      </c>
      <c r="I69" s="27" t="s">
        <v>64</v>
      </c>
      <c r="J69" s="27" t="s">
        <v>432</v>
      </c>
    </row>
    <row r="70" customFormat="false" ht="45.75" hidden="false" customHeight="true" outlineLevel="0" collapsed="false">
      <c r="A70" s="22" t="s">
        <v>433</v>
      </c>
      <c r="B70" s="23" t="s">
        <v>58</v>
      </c>
      <c r="C70" s="23" t="s">
        <v>411</v>
      </c>
      <c r="D70" s="23" t="s">
        <v>434</v>
      </c>
      <c r="E70" s="28" t="s">
        <v>435</v>
      </c>
      <c r="F70" s="25" t="s">
        <v>436</v>
      </c>
      <c r="G70" s="23" t="s">
        <v>127</v>
      </c>
      <c r="H70" s="23" t="s">
        <v>119</v>
      </c>
      <c r="I70" s="27" t="s">
        <v>67</v>
      </c>
      <c r="J70" s="27" t="s">
        <v>437</v>
      </c>
    </row>
    <row r="71" customFormat="false" ht="45.75" hidden="false" customHeight="true" outlineLevel="0" collapsed="false">
      <c r="A71" s="22" t="s">
        <v>438</v>
      </c>
      <c r="B71" s="23" t="s">
        <v>58</v>
      </c>
      <c r="C71" s="23" t="s">
        <v>411</v>
      </c>
      <c r="D71" s="23" t="s">
        <v>434</v>
      </c>
      <c r="E71" s="28" t="s">
        <v>439</v>
      </c>
      <c r="F71" s="29" t="s">
        <v>440</v>
      </c>
      <c r="G71" s="23" t="s">
        <v>127</v>
      </c>
      <c r="H71" s="23" t="s">
        <v>119</v>
      </c>
      <c r="I71" s="27" t="s">
        <v>67</v>
      </c>
      <c r="J71" s="27" t="s">
        <v>441</v>
      </c>
    </row>
    <row r="72" customFormat="false" ht="45.75" hidden="false" customHeight="true" outlineLevel="0" collapsed="false">
      <c r="A72" s="22" t="s">
        <v>442</v>
      </c>
      <c r="B72" s="23" t="s">
        <v>58</v>
      </c>
      <c r="C72" s="23" t="s">
        <v>443</v>
      </c>
      <c r="D72" s="23" t="s">
        <v>444</v>
      </c>
      <c r="E72" s="24" t="s">
        <v>445</v>
      </c>
      <c r="F72" s="25" t="s">
        <v>446</v>
      </c>
      <c r="G72" s="26" t="s">
        <v>119</v>
      </c>
      <c r="H72" s="23" t="s">
        <v>119</v>
      </c>
      <c r="I72" s="27" t="s">
        <v>121</v>
      </c>
      <c r="J72" s="27" t="s">
        <v>447</v>
      </c>
    </row>
    <row r="73" customFormat="false" ht="54" hidden="false" customHeight="true" outlineLevel="0" collapsed="false">
      <c r="A73" s="22" t="s">
        <v>448</v>
      </c>
      <c r="B73" s="23" t="s">
        <v>58</v>
      </c>
      <c r="C73" s="23" t="s">
        <v>443</v>
      </c>
      <c r="D73" s="23" t="s">
        <v>449</v>
      </c>
      <c r="E73" s="24" t="s">
        <v>450</v>
      </c>
      <c r="F73" s="25" t="s">
        <v>451</v>
      </c>
      <c r="G73" s="26" t="s">
        <v>119</v>
      </c>
      <c r="H73" s="23" t="s">
        <v>119</v>
      </c>
      <c r="I73" s="27" t="s">
        <v>64</v>
      </c>
      <c r="J73" s="27" t="s">
        <v>452</v>
      </c>
    </row>
    <row r="74" customFormat="false" ht="45.75" hidden="false" customHeight="true" outlineLevel="0" collapsed="false">
      <c r="A74" s="22" t="s">
        <v>453</v>
      </c>
      <c r="B74" s="23" t="s">
        <v>58</v>
      </c>
      <c r="C74" s="23" t="s">
        <v>443</v>
      </c>
      <c r="D74" s="23" t="s">
        <v>454</v>
      </c>
      <c r="E74" s="24" t="s">
        <v>455</v>
      </c>
      <c r="F74" s="25" t="s">
        <v>456</v>
      </c>
      <c r="G74" s="26" t="s">
        <v>119</v>
      </c>
      <c r="H74" s="23" t="s">
        <v>120</v>
      </c>
      <c r="I74" s="27" t="s">
        <v>64</v>
      </c>
      <c r="J74" s="27" t="s">
        <v>457</v>
      </c>
    </row>
    <row r="75" customFormat="false" ht="45.75" hidden="false" customHeight="true" outlineLevel="0" collapsed="false">
      <c r="A75" s="22" t="s">
        <v>458</v>
      </c>
      <c r="B75" s="23" t="s">
        <v>58</v>
      </c>
      <c r="C75" s="23" t="s">
        <v>443</v>
      </c>
      <c r="D75" s="23" t="s">
        <v>459</v>
      </c>
      <c r="E75" s="24" t="s">
        <v>460</v>
      </c>
      <c r="F75" s="25" t="s">
        <v>461</v>
      </c>
      <c r="G75" s="23" t="s">
        <v>120</v>
      </c>
      <c r="H75" s="23" t="s">
        <v>119</v>
      </c>
      <c r="I75" s="27" t="s">
        <v>64</v>
      </c>
      <c r="J75" s="27" t="s">
        <v>462</v>
      </c>
    </row>
    <row r="76" customFormat="false" ht="45.75" hidden="false" customHeight="true" outlineLevel="0" collapsed="false">
      <c r="A76" s="22" t="s">
        <v>463</v>
      </c>
      <c r="B76" s="23" t="s">
        <v>58</v>
      </c>
      <c r="C76" s="23" t="s">
        <v>443</v>
      </c>
      <c r="D76" s="23" t="s">
        <v>464</v>
      </c>
      <c r="E76" s="24" t="s">
        <v>465</v>
      </c>
      <c r="F76" s="25" t="s">
        <v>466</v>
      </c>
      <c r="G76" s="23" t="s">
        <v>120</v>
      </c>
      <c r="H76" s="23" t="s">
        <v>127</v>
      </c>
      <c r="I76" s="27" t="s">
        <v>64</v>
      </c>
      <c r="J76" s="27" t="s">
        <v>467</v>
      </c>
    </row>
    <row r="77" customFormat="false" ht="45.75" hidden="false" customHeight="true" outlineLevel="0" collapsed="false">
      <c r="A77" s="30" t="s">
        <v>468</v>
      </c>
      <c r="B77" s="31" t="s">
        <v>469</v>
      </c>
      <c r="C77" s="31" t="s">
        <v>469</v>
      </c>
      <c r="D77" s="31" t="s">
        <v>470</v>
      </c>
      <c r="E77" s="32" t="s">
        <v>471</v>
      </c>
      <c r="F77" s="33" t="s">
        <v>472</v>
      </c>
      <c r="G77" s="34" t="s">
        <v>119</v>
      </c>
      <c r="H77" s="31" t="s">
        <v>119</v>
      </c>
      <c r="I77" s="35" t="s">
        <v>121</v>
      </c>
      <c r="J77" s="31" t="s">
        <v>473</v>
      </c>
    </row>
    <row r="78" customFormat="false" ht="45.75" hidden="false" customHeight="true" outlineLevel="0" collapsed="false">
      <c r="A78" s="30" t="s">
        <v>474</v>
      </c>
      <c r="B78" s="31" t="s">
        <v>469</v>
      </c>
      <c r="C78" s="31" t="s">
        <v>469</v>
      </c>
      <c r="D78" s="31" t="s">
        <v>475</v>
      </c>
      <c r="E78" s="32" t="s">
        <v>476</v>
      </c>
      <c r="F78" s="33" t="s">
        <v>477</v>
      </c>
      <c r="G78" s="34" t="s">
        <v>119</v>
      </c>
      <c r="H78" s="31" t="s">
        <v>119</v>
      </c>
      <c r="I78" s="35" t="s">
        <v>121</v>
      </c>
      <c r="J78" s="31" t="s">
        <v>473</v>
      </c>
    </row>
    <row r="79" customFormat="false" ht="45.75" hidden="false" customHeight="true" outlineLevel="0" collapsed="false">
      <c r="A79" s="30" t="s">
        <v>478</v>
      </c>
      <c r="B79" s="31" t="s">
        <v>469</v>
      </c>
      <c r="C79" s="31" t="s">
        <v>469</v>
      </c>
      <c r="D79" s="31" t="s">
        <v>479</v>
      </c>
      <c r="E79" s="32" t="s">
        <v>480</v>
      </c>
      <c r="F79" s="33" t="s">
        <v>481</v>
      </c>
      <c r="G79" s="34" t="s">
        <v>119</v>
      </c>
      <c r="H79" s="31" t="s">
        <v>119</v>
      </c>
      <c r="I79" s="35" t="s">
        <v>121</v>
      </c>
      <c r="J79" s="31" t="s">
        <v>473</v>
      </c>
    </row>
    <row r="80" customFormat="false" ht="54" hidden="false" customHeight="true" outlineLevel="0" collapsed="false">
      <c r="A80" s="30" t="s">
        <v>482</v>
      </c>
      <c r="B80" s="31" t="s">
        <v>469</v>
      </c>
      <c r="C80" s="31" t="s">
        <v>469</v>
      </c>
      <c r="D80" s="31" t="s">
        <v>483</v>
      </c>
      <c r="E80" s="32" t="s">
        <v>484</v>
      </c>
      <c r="F80" s="33" t="s">
        <v>485</v>
      </c>
      <c r="G80" s="34" t="s">
        <v>119</v>
      </c>
      <c r="H80" s="31" t="s">
        <v>120</v>
      </c>
      <c r="I80" s="35" t="s">
        <v>64</v>
      </c>
      <c r="J80" s="31" t="s">
        <v>473</v>
      </c>
    </row>
    <row r="81" customFormat="false" ht="45.75" hidden="false" customHeight="true" outlineLevel="0" collapsed="false">
      <c r="A81" s="30" t="s">
        <v>486</v>
      </c>
      <c r="B81" s="31" t="s">
        <v>469</v>
      </c>
      <c r="C81" s="31" t="s">
        <v>469</v>
      </c>
      <c r="D81" s="31" t="s">
        <v>487</v>
      </c>
      <c r="E81" s="32" t="s">
        <v>488</v>
      </c>
      <c r="F81" s="36" t="s">
        <v>489</v>
      </c>
      <c r="G81" s="31" t="s">
        <v>120</v>
      </c>
      <c r="H81" s="31" t="s">
        <v>120</v>
      </c>
      <c r="I81" s="35" t="s">
        <v>121</v>
      </c>
      <c r="J81" s="31" t="s">
        <v>473</v>
      </c>
    </row>
    <row r="82" customFormat="false" ht="45.75" hidden="false" customHeight="true" outlineLevel="0" collapsed="false">
      <c r="A82" s="30" t="s">
        <v>490</v>
      </c>
      <c r="B82" s="31" t="s">
        <v>469</v>
      </c>
      <c r="C82" s="31" t="s">
        <v>469</v>
      </c>
      <c r="D82" s="31" t="s">
        <v>491</v>
      </c>
      <c r="E82" s="32" t="s">
        <v>492</v>
      </c>
      <c r="F82" s="33" t="s">
        <v>493</v>
      </c>
      <c r="G82" s="34" t="s">
        <v>119</v>
      </c>
      <c r="H82" s="31" t="s">
        <v>119</v>
      </c>
      <c r="I82" s="35" t="s">
        <v>121</v>
      </c>
      <c r="J82" s="31" t="s">
        <v>473</v>
      </c>
    </row>
    <row r="83" customFormat="false" ht="67.5" hidden="false" customHeight="true" outlineLevel="0" collapsed="false">
      <c r="A83" s="30" t="s">
        <v>494</v>
      </c>
      <c r="B83" s="31" t="s">
        <v>469</v>
      </c>
      <c r="C83" s="31" t="s">
        <v>469</v>
      </c>
      <c r="D83" s="31" t="s">
        <v>495</v>
      </c>
      <c r="E83" s="32" t="s">
        <v>496</v>
      </c>
      <c r="F83" s="36" t="s">
        <v>497</v>
      </c>
      <c r="G83" s="34" t="s">
        <v>119</v>
      </c>
      <c r="H83" s="31" t="s">
        <v>120</v>
      </c>
      <c r="I83" s="35" t="s">
        <v>121</v>
      </c>
      <c r="J83" s="31" t="s">
        <v>473</v>
      </c>
    </row>
    <row r="84" customFormat="false" ht="45.75" hidden="false" customHeight="true" outlineLevel="0" collapsed="false">
      <c r="A84" s="30" t="s">
        <v>498</v>
      </c>
      <c r="B84" s="31" t="s">
        <v>469</v>
      </c>
      <c r="C84" s="31" t="s">
        <v>469</v>
      </c>
      <c r="D84" s="31" t="s">
        <v>499</v>
      </c>
      <c r="E84" s="32" t="s">
        <v>500</v>
      </c>
      <c r="F84" s="36" t="s">
        <v>501</v>
      </c>
      <c r="G84" s="31" t="s">
        <v>120</v>
      </c>
      <c r="H84" s="31" t="s">
        <v>120</v>
      </c>
      <c r="I84" s="35" t="s">
        <v>64</v>
      </c>
      <c r="J84" s="31" t="s">
        <v>473</v>
      </c>
    </row>
    <row r="85" customFormat="false" ht="54" hidden="false" customHeight="true" outlineLevel="0" collapsed="false">
      <c r="A85" s="30" t="s">
        <v>502</v>
      </c>
      <c r="B85" s="31" t="s">
        <v>469</v>
      </c>
      <c r="C85" s="31" t="s">
        <v>469</v>
      </c>
      <c r="D85" s="31" t="s">
        <v>503</v>
      </c>
      <c r="E85" s="32" t="s">
        <v>504</v>
      </c>
      <c r="F85" s="33" t="s">
        <v>505</v>
      </c>
      <c r="G85" s="34" t="s">
        <v>119</v>
      </c>
      <c r="H85" s="31" t="s">
        <v>127</v>
      </c>
      <c r="I85" s="35" t="s">
        <v>121</v>
      </c>
      <c r="J85" s="31" t="s">
        <v>473</v>
      </c>
    </row>
    <row r="86" customFormat="false" ht="45.75" hidden="false" customHeight="true" outlineLevel="0" collapsed="false">
      <c r="A86" s="30" t="s">
        <v>506</v>
      </c>
      <c r="B86" s="31" t="s">
        <v>469</v>
      </c>
      <c r="C86" s="31" t="s">
        <v>469</v>
      </c>
      <c r="D86" s="31" t="s">
        <v>507</v>
      </c>
      <c r="E86" s="32" t="s">
        <v>508</v>
      </c>
      <c r="F86" s="33" t="s">
        <v>509</v>
      </c>
      <c r="G86" s="31" t="s">
        <v>120</v>
      </c>
      <c r="H86" s="31" t="s">
        <v>120</v>
      </c>
      <c r="I86" s="35" t="s">
        <v>64</v>
      </c>
      <c r="J86" s="31" t="s">
        <v>473</v>
      </c>
    </row>
  </sheetData>
  <autoFilter ref="A4:J86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4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2" t="s">
        <v>510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3" t="s">
        <v>511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customFormat="false" ht="30" hidden="false" customHeight="true" outlineLevel="0" collapsed="false">
      <c r="A4" s="21" t="s">
        <v>512</v>
      </c>
      <c r="B4" s="21" t="s">
        <v>106</v>
      </c>
      <c r="C4" s="21" t="s">
        <v>107</v>
      </c>
      <c r="D4" s="21" t="s">
        <v>513</v>
      </c>
      <c r="E4" s="21" t="s">
        <v>514</v>
      </c>
      <c r="F4" s="21" t="s">
        <v>515</v>
      </c>
      <c r="G4" s="21" t="s">
        <v>516</v>
      </c>
      <c r="H4" s="21" t="s">
        <v>517</v>
      </c>
      <c r="I4" s="21" t="s">
        <v>518</v>
      </c>
      <c r="J4" s="21" t="s">
        <v>519</v>
      </c>
      <c r="K4" s="21" t="s">
        <v>520</v>
      </c>
      <c r="L4" s="21" t="s">
        <v>112</v>
      </c>
    </row>
    <row r="5" customFormat="false" ht="36" hidden="false" customHeight="true" outlineLevel="0" collapsed="false">
      <c r="A5" s="22" t="s">
        <v>521</v>
      </c>
      <c r="B5" s="37" t="s">
        <v>115</v>
      </c>
      <c r="C5" s="23" t="s">
        <v>116</v>
      </c>
      <c r="D5" s="24" t="s">
        <v>522</v>
      </c>
      <c r="E5" s="25" t="s">
        <v>523</v>
      </c>
      <c r="F5" s="25" t="s">
        <v>524</v>
      </c>
      <c r="G5" s="25" t="s">
        <v>525</v>
      </c>
      <c r="H5" s="25" t="s">
        <v>526</v>
      </c>
      <c r="I5" s="27" t="s">
        <v>527</v>
      </c>
      <c r="J5" s="27" t="s">
        <v>114</v>
      </c>
      <c r="K5" s="23" t="s">
        <v>119</v>
      </c>
      <c r="L5" s="38" t="s">
        <v>121</v>
      </c>
    </row>
    <row r="6" customFormat="false" ht="36" hidden="false" customHeight="true" outlineLevel="0" collapsed="false">
      <c r="A6" s="22" t="s">
        <v>528</v>
      </c>
      <c r="B6" s="37" t="s">
        <v>115</v>
      </c>
      <c r="C6" s="23" t="s">
        <v>116</v>
      </c>
      <c r="D6" s="24" t="s">
        <v>529</v>
      </c>
      <c r="E6" s="29" t="s">
        <v>530</v>
      </c>
      <c r="F6" s="29" t="s">
        <v>531</v>
      </c>
      <c r="G6" s="29" t="s">
        <v>532</v>
      </c>
      <c r="H6" s="25" t="s">
        <v>533</v>
      </c>
      <c r="I6" s="27" t="s">
        <v>534</v>
      </c>
      <c r="J6" s="27" t="s">
        <v>114</v>
      </c>
      <c r="K6" s="23" t="s">
        <v>119</v>
      </c>
      <c r="L6" s="38" t="s">
        <v>121</v>
      </c>
    </row>
    <row r="7" customFormat="false" ht="36" hidden="false" customHeight="true" outlineLevel="0" collapsed="false">
      <c r="A7" s="22" t="s">
        <v>535</v>
      </c>
      <c r="B7" s="37" t="s">
        <v>115</v>
      </c>
      <c r="C7" s="23" t="s">
        <v>116</v>
      </c>
      <c r="D7" s="24" t="s">
        <v>536</v>
      </c>
      <c r="E7" s="25" t="s">
        <v>537</v>
      </c>
      <c r="F7" s="25" t="s">
        <v>538</v>
      </c>
      <c r="G7" s="25" t="s">
        <v>539</v>
      </c>
      <c r="H7" s="25" t="s">
        <v>540</v>
      </c>
      <c r="I7" s="27" t="s">
        <v>534</v>
      </c>
      <c r="J7" s="27" t="s">
        <v>114</v>
      </c>
      <c r="K7" s="23" t="s">
        <v>120</v>
      </c>
      <c r="L7" s="39" t="s">
        <v>64</v>
      </c>
    </row>
    <row r="8" customFormat="false" ht="36" hidden="false" customHeight="true" outlineLevel="0" collapsed="false">
      <c r="A8" s="22" t="s">
        <v>541</v>
      </c>
      <c r="B8" s="37" t="s">
        <v>115</v>
      </c>
      <c r="C8" s="23" t="s">
        <v>116</v>
      </c>
      <c r="D8" s="24" t="s">
        <v>542</v>
      </c>
      <c r="E8" s="25" t="s">
        <v>543</v>
      </c>
      <c r="F8" s="29" t="s">
        <v>544</v>
      </c>
      <c r="G8" s="25" t="s">
        <v>545</v>
      </c>
      <c r="H8" s="25" t="s">
        <v>546</v>
      </c>
      <c r="I8" s="27" t="s">
        <v>547</v>
      </c>
      <c r="J8" s="27" t="s">
        <v>114</v>
      </c>
      <c r="K8" s="23" t="s">
        <v>120</v>
      </c>
      <c r="L8" s="38" t="s">
        <v>121</v>
      </c>
    </row>
    <row r="9" customFormat="false" ht="36" hidden="false" customHeight="true" outlineLevel="0" collapsed="false">
      <c r="A9" s="22" t="s">
        <v>548</v>
      </c>
      <c r="B9" s="37" t="s">
        <v>115</v>
      </c>
      <c r="C9" s="23" t="s">
        <v>124</v>
      </c>
      <c r="D9" s="24" t="s">
        <v>549</v>
      </c>
      <c r="E9" s="25" t="s">
        <v>550</v>
      </c>
      <c r="F9" s="25" t="s">
        <v>551</v>
      </c>
      <c r="G9" s="25" t="s">
        <v>552</v>
      </c>
      <c r="H9" s="25" t="s">
        <v>553</v>
      </c>
      <c r="I9" s="27" t="s">
        <v>554</v>
      </c>
      <c r="J9" s="27" t="s">
        <v>123</v>
      </c>
      <c r="K9" s="23" t="s">
        <v>119</v>
      </c>
      <c r="L9" s="38" t="s">
        <v>121</v>
      </c>
    </row>
    <row r="10" customFormat="false" ht="36" hidden="false" customHeight="true" outlineLevel="0" collapsed="false">
      <c r="A10" s="22" t="s">
        <v>555</v>
      </c>
      <c r="B10" s="37" t="s">
        <v>115</v>
      </c>
      <c r="C10" s="23" t="s">
        <v>124</v>
      </c>
      <c r="D10" s="24" t="s">
        <v>556</v>
      </c>
      <c r="E10" s="25" t="s">
        <v>557</v>
      </c>
      <c r="F10" s="25" t="s">
        <v>558</v>
      </c>
      <c r="G10" s="25" t="s">
        <v>559</v>
      </c>
      <c r="H10" s="25" t="s">
        <v>560</v>
      </c>
      <c r="I10" s="27" t="s">
        <v>554</v>
      </c>
      <c r="J10" s="27" t="s">
        <v>123</v>
      </c>
      <c r="K10" s="23" t="s">
        <v>119</v>
      </c>
      <c r="L10" s="38" t="s">
        <v>121</v>
      </c>
    </row>
    <row r="11" customFormat="false" ht="36" hidden="false" customHeight="true" outlineLevel="0" collapsed="false">
      <c r="A11" s="22" t="s">
        <v>561</v>
      </c>
      <c r="B11" s="37" t="s">
        <v>115</v>
      </c>
      <c r="C11" s="23" t="s">
        <v>124</v>
      </c>
      <c r="D11" s="24" t="s">
        <v>562</v>
      </c>
      <c r="E11" s="25" t="s">
        <v>563</v>
      </c>
      <c r="F11" s="25" t="s">
        <v>564</v>
      </c>
      <c r="G11" s="25" t="s">
        <v>565</v>
      </c>
      <c r="H11" s="25" t="s">
        <v>566</v>
      </c>
      <c r="I11" s="27" t="s">
        <v>554</v>
      </c>
      <c r="J11" s="27" t="s">
        <v>123</v>
      </c>
      <c r="K11" s="23" t="s">
        <v>120</v>
      </c>
      <c r="L11" s="38" t="s">
        <v>121</v>
      </c>
    </row>
    <row r="12" customFormat="false" ht="36" hidden="false" customHeight="true" outlineLevel="0" collapsed="false">
      <c r="A12" s="22" t="s">
        <v>133</v>
      </c>
      <c r="B12" s="37" t="s">
        <v>115</v>
      </c>
      <c r="C12" s="23" t="s">
        <v>130</v>
      </c>
      <c r="D12" s="24" t="s">
        <v>131</v>
      </c>
      <c r="E12" s="25" t="s">
        <v>567</v>
      </c>
      <c r="F12" s="25" t="s">
        <v>568</v>
      </c>
      <c r="G12" s="25" t="s">
        <v>569</v>
      </c>
      <c r="H12" s="25" t="s">
        <v>570</v>
      </c>
      <c r="I12" s="27" t="s">
        <v>571</v>
      </c>
      <c r="J12" s="27" t="s">
        <v>129</v>
      </c>
      <c r="K12" s="23" t="s">
        <v>120</v>
      </c>
      <c r="L12" s="38" t="s">
        <v>121</v>
      </c>
    </row>
    <row r="13" customFormat="false" ht="36" hidden="false" customHeight="true" outlineLevel="0" collapsed="false">
      <c r="A13" s="22" t="s">
        <v>138</v>
      </c>
      <c r="B13" s="37" t="s">
        <v>115</v>
      </c>
      <c r="C13" s="23" t="s">
        <v>135</v>
      </c>
      <c r="D13" s="24" t="s">
        <v>572</v>
      </c>
      <c r="E13" s="25" t="s">
        <v>573</v>
      </c>
      <c r="F13" s="25" t="s">
        <v>574</v>
      </c>
      <c r="G13" s="25" t="s">
        <v>575</v>
      </c>
      <c r="H13" s="25" t="s">
        <v>576</v>
      </c>
      <c r="I13" s="27" t="s">
        <v>577</v>
      </c>
      <c r="J13" s="27" t="s">
        <v>134</v>
      </c>
      <c r="K13" s="23" t="s">
        <v>120</v>
      </c>
      <c r="L13" s="38" t="s">
        <v>121</v>
      </c>
    </row>
    <row r="14" customFormat="false" ht="36" hidden="false" customHeight="true" outlineLevel="0" collapsed="false">
      <c r="A14" s="22" t="s">
        <v>142</v>
      </c>
      <c r="B14" s="37" t="s">
        <v>115</v>
      </c>
      <c r="C14" s="23" t="s">
        <v>130</v>
      </c>
      <c r="D14" s="24" t="s">
        <v>578</v>
      </c>
      <c r="E14" s="25" t="s">
        <v>579</v>
      </c>
      <c r="F14" s="25" t="s">
        <v>580</v>
      </c>
      <c r="G14" s="25" t="s">
        <v>581</v>
      </c>
      <c r="H14" s="25" t="s">
        <v>582</v>
      </c>
      <c r="I14" s="27" t="s">
        <v>571</v>
      </c>
      <c r="J14" s="27" t="s">
        <v>139</v>
      </c>
      <c r="K14" s="23" t="s">
        <v>120</v>
      </c>
      <c r="L14" s="38" t="s">
        <v>121</v>
      </c>
    </row>
    <row r="15" customFormat="false" ht="36" hidden="false" customHeight="true" outlineLevel="0" collapsed="false">
      <c r="A15" s="22" t="s">
        <v>146</v>
      </c>
      <c r="B15" s="37" t="s">
        <v>115</v>
      </c>
      <c r="C15" s="23" t="s">
        <v>130</v>
      </c>
      <c r="D15" s="24" t="s">
        <v>583</v>
      </c>
      <c r="E15" s="25" t="s">
        <v>584</v>
      </c>
      <c r="F15" s="25" t="s">
        <v>585</v>
      </c>
      <c r="G15" s="29" t="s">
        <v>586</v>
      </c>
      <c r="H15" s="25" t="s">
        <v>587</v>
      </c>
      <c r="I15" s="27" t="s">
        <v>571</v>
      </c>
      <c r="J15" s="27" t="s">
        <v>143</v>
      </c>
      <c r="K15" s="23" t="s">
        <v>127</v>
      </c>
      <c r="L15" s="40" t="s">
        <v>67</v>
      </c>
    </row>
    <row r="16" customFormat="false" ht="40.5" hidden="false" customHeight="true" outlineLevel="0" collapsed="false">
      <c r="A16" s="22" t="s">
        <v>152</v>
      </c>
      <c r="B16" s="41" t="s">
        <v>148</v>
      </c>
      <c r="C16" s="23" t="s">
        <v>149</v>
      </c>
      <c r="D16" s="24" t="s">
        <v>588</v>
      </c>
      <c r="E16" s="25" t="s">
        <v>589</v>
      </c>
      <c r="F16" s="25" t="s">
        <v>590</v>
      </c>
      <c r="G16" s="29" t="s">
        <v>591</v>
      </c>
      <c r="H16" s="25" t="s">
        <v>592</v>
      </c>
      <c r="I16" s="27" t="s">
        <v>593</v>
      </c>
      <c r="J16" s="27" t="s">
        <v>147</v>
      </c>
      <c r="K16" s="23" t="s">
        <v>119</v>
      </c>
      <c r="L16" s="38" t="s">
        <v>121</v>
      </c>
    </row>
    <row r="17" customFormat="false" ht="36" hidden="false" customHeight="true" outlineLevel="0" collapsed="false">
      <c r="A17" s="22" t="s">
        <v>157</v>
      </c>
      <c r="B17" s="41" t="s">
        <v>148</v>
      </c>
      <c r="C17" s="23" t="s">
        <v>154</v>
      </c>
      <c r="D17" s="24" t="s">
        <v>594</v>
      </c>
      <c r="E17" s="25" t="s">
        <v>595</v>
      </c>
      <c r="F17" s="25" t="s">
        <v>596</v>
      </c>
      <c r="G17" s="25" t="s">
        <v>597</v>
      </c>
      <c r="H17" s="25" t="s">
        <v>598</v>
      </c>
      <c r="I17" s="27" t="s">
        <v>599</v>
      </c>
      <c r="J17" s="27" t="s">
        <v>153</v>
      </c>
      <c r="K17" s="23" t="s">
        <v>119</v>
      </c>
      <c r="L17" s="38" t="s">
        <v>121</v>
      </c>
    </row>
    <row r="18" customFormat="false" ht="36" hidden="false" customHeight="true" outlineLevel="0" collapsed="false">
      <c r="A18" s="22" t="s">
        <v>600</v>
      </c>
      <c r="B18" s="41" t="s">
        <v>148</v>
      </c>
      <c r="C18" s="23" t="s">
        <v>159</v>
      </c>
      <c r="D18" s="24" t="s">
        <v>601</v>
      </c>
      <c r="E18" s="25" t="s">
        <v>602</v>
      </c>
      <c r="F18" s="25" t="s">
        <v>603</v>
      </c>
      <c r="G18" s="25" t="s">
        <v>604</v>
      </c>
      <c r="H18" s="25" t="s">
        <v>605</v>
      </c>
      <c r="I18" s="27" t="s">
        <v>606</v>
      </c>
      <c r="J18" s="27" t="s">
        <v>158</v>
      </c>
      <c r="K18" s="23" t="s">
        <v>120</v>
      </c>
      <c r="L18" s="39" t="s">
        <v>64</v>
      </c>
    </row>
    <row r="19" customFormat="false" ht="36" hidden="false" customHeight="true" outlineLevel="0" collapsed="false">
      <c r="A19" s="22" t="s">
        <v>607</v>
      </c>
      <c r="B19" s="41" t="s">
        <v>148</v>
      </c>
      <c r="C19" s="23" t="s">
        <v>159</v>
      </c>
      <c r="D19" s="24" t="s">
        <v>608</v>
      </c>
      <c r="E19" s="25" t="s">
        <v>609</v>
      </c>
      <c r="F19" s="29" t="s">
        <v>610</v>
      </c>
      <c r="G19" s="29" t="s">
        <v>611</v>
      </c>
      <c r="H19" s="25" t="s">
        <v>612</v>
      </c>
      <c r="I19" s="27" t="s">
        <v>606</v>
      </c>
      <c r="J19" s="27" t="s">
        <v>158</v>
      </c>
      <c r="K19" s="23" t="s">
        <v>120</v>
      </c>
      <c r="L19" s="39" t="s">
        <v>64</v>
      </c>
    </row>
    <row r="20" customFormat="false" ht="36" hidden="false" customHeight="true" outlineLevel="0" collapsed="false">
      <c r="A20" s="22" t="s">
        <v>613</v>
      </c>
      <c r="B20" s="41" t="s">
        <v>148</v>
      </c>
      <c r="C20" s="23" t="s">
        <v>149</v>
      </c>
      <c r="D20" s="24" t="s">
        <v>614</v>
      </c>
      <c r="E20" s="25" t="s">
        <v>615</v>
      </c>
      <c r="F20" s="25" t="s">
        <v>616</v>
      </c>
      <c r="G20" s="25" t="s">
        <v>617</v>
      </c>
      <c r="H20" s="25" t="s">
        <v>618</v>
      </c>
      <c r="I20" s="27" t="s">
        <v>599</v>
      </c>
      <c r="J20" s="27" t="s">
        <v>163</v>
      </c>
      <c r="K20" s="23" t="s">
        <v>119</v>
      </c>
      <c r="L20" s="38" t="s">
        <v>121</v>
      </c>
    </row>
    <row r="21" customFormat="false" ht="36" hidden="false" customHeight="true" outlineLevel="0" collapsed="false">
      <c r="A21" s="22" t="s">
        <v>619</v>
      </c>
      <c r="B21" s="41" t="s">
        <v>148</v>
      </c>
      <c r="C21" s="23" t="s">
        <v>149</v>
      </c>
      <c r="D21" s="24" t="s">
        <v>620</v>
      </c>
      <c r="E21" s="25" t="s">
        <v>621</v>
      </c>
      <c r="F21" s="25" t="s">
        <v>558</v>
      </c>
      <c r="G21" s="25" t="s">
        <v>622</v>
      </c>
      <c r="H21" s="25" t="s">
        <v>623</v>
      </c>
      <c r="I21" s="27" t="s">
        <v>599</v>
      </c>
      <c r="J21" s="27" t="s">
        <v>163</v>
      </c>
      <c r="K21" s="23" t="s">
        <v>120</v>
      </c>
      <c r="L21" s="38" t="s">
        <v>121</v>
      </c>
    </row>
    <row r="22" customFormat="false" ht="36" hidden="false" customHeight="true" outlineLevel="0" collapsed="false">
      <c r="A22" s="22" t="s">
        <v>624</v>
      </c>
      <c r="B22" s="41" t="s">
        <v>148</v>
      </c>
      <c r="C22" s="23" t="s">
        <v>149</v>
      </c>
      <c r="D22" s="24" t="s">
        <v>625</v>
      </c>
      <c r="E22" s="25" t="s">
        <v>626</v>
      </c>
      <c r="F22" s="25" t="s">
        <v>603</v>
      </c>
      <c r="G22" s="25" t="s">
        <v>627</v>
      </c>
      <c r="H22" s="25" t="s">
        <v>628</v>
      </c>
      <c r="I22" s="27" t="s">
        <v>599</v>
      </c>
      <c r="J22" s="27" t="s">
        <v>163</v>
      </c>
      <c r="K22" s="23" t="s">
        <v>120</v>
      </c>
      <c r="L22" s="38" t="s">
        <v>121</v>
      </c>
    </row>
    <row r="23" customFormat="false" ht="36" hidden="false" customHeight="true" outlineLevel="0" collapsed="false">
      <c r="A23" s="22" t="s">
        <v>629</v>
      </c>
      <c r="B23" s="41" t="s">
        <v>148</v>
      </c>
      <c r="C23" s="23" t="s">
        <v>168</v>
      </c>
      <c r="D23" s="24" t="s">
        <v>630</v>
      </c>
      <c r="E23" s="25" t="s">
        <v>631</v>
      </c>
      <c r="F23" s="25" t="s">
        <v>632</v>
      </c>
      <c r="G23" s="25" t="s">
        <v>633</v>
      </c>
      <c r="H23" s="25" t="s">
        <v>634</v>
      </c>
      <c r="I23" s="27" t="s">
        <v>635</v>
      </c>
      <c r="J23" s="27" t="s">
        <v>167</v>
      </c>
      <c r="K23" s="23" t="s">
        <v>119</v>
      </c>
      <c r="L23" s="38" t="s">
        <v>121</v>
      </c>
    </row>
    <row r="24" customFormat="false" ht="36" hidden="false" customHeight="true" outlineLevel="0" collapsed="false">
      <c r="A24" s="22" t="s">
        <v>636</v>
      </c>
      <c r="B24" s="41" t="s">
        <v>148</v>
      </c>
      <c r="C24" s="23" t="s">
        <v>168</v>
      </c>
      <c r="D24" s="24" t="s">
        <v>637</v>
      </c>
      <c r="E24" s="25" t="s">
        <v>638</v>
      </c>
      <c r="F24" s="25" t="s">
        <v>639</v>
      </c>
      <c r="G24" s="25" t="s">
        <v>640</v>
      </c>
      <c r="H24" s="25" t="s">
        <v>641</v>
      </c>
      <c r="I24" s="27" t="s">
        <v>635</v>
      </c>
      <c r="J24" s="27" t="s">
        <v>167</v>
      </c>
      <c r="K24" s="23" t="s">
        <v>119</v>
      </c>
      <c r="L24" s="38" t="s">
        <v>121</v>
      </c>
    </row>
    <row r="25" customFormat="false" ht="36" hidden="false" customHeight="true" outlineLevel="0" collapsed="false">
      <c r="A25" s="22" t="s">
        <v>642</v>
      </c>
      <c r="B25" s="41" t="s">
        <v>148</v>
      </c>
      <c r="C25" s="23" t="s">
        <v>173</v>
      </c>
      <c r="D25" s="24" t="s">
        <v>643</v>
      </c>
      <c r="E25" s="25" t="s">
        <v>644</v>
      </c>
      <c r="F25" s="25" t="s">
        <v>603</v>
      </c>
      <c r="G25" s="25" t="s">
        <v>645</v>
      </c>
      <c r="H25" s="25" t="s">
        <v>646</v>
      </c>
      <c r="I25" s="27" t="s">
        <v>635</v>
      </c>
      <c r="J25" s="27" t="s">
        <v>172</v>
      </c>
      <c r="K25" s="23" t="s">
        <v>119</v>
      </c>
      <c r="L25" s="38" t="s">
        <v>121</v>
      </c>
    </row>
    <row r="26" customFormat="false" ht="36" hidden="false" customHeight="true" outlineLevel="0" collapsed="false">
      <c r="A26" s="22" t="s">
        <v>647</v>
      </c>
      <c r="B26" s="41" t="s">
        <v>148</v>
      </c>
      <c r="C26" s="23" t="s">
        <v>173</v>
      </c>
      <c r="D26" s="24" t="s">
        <v>648</v>
      </c>
      <c r="E26" s="25" t="s">
        <v>649</v>
      </c>
      <c r="F26" s="29" t="s">
        <v>593</v>
      </c>
      <c r="G26" s="25" t="s">
        <v>650</v>
      </c>
      <c r="H26" s="25" t="s">
        <v>651</v>
      </c>
      <c r="I26" s="27" t="s">
        <v>635</v>
      </c>
      <c r="J26" s="27" t="s">
        <v>172</v>
      </c>
      <c r="K26" s="23" t="s">
        <v>119</v>
      </c>
      <c r="L26" s="38" t="s">
        <v>121</v>
      </c>
    </row>
    <row r="27" customFormat="false" ht="40.5" hidden="false" customHeight="true" outlineLevel="0" collapsed="false">
      <c r="A27" s="22" t="s">
        <v>181</v>
      </c>
      <c r="B27" s="41" t="s">
        <v>148</v>
      </c>
      <c r="C27" s="23" t="s">
        <v>178</v>
      </c>
      <c r="D27" s="24" t="s">
        <v>652</v>
      </c>
      <c r="E27" s="25" t="s">
        <v>653</v>
      </c>
      <c r="F27" s="25" t="s">
        <v>654</v>
      </c>
      <c r="G27" s="25" t="s">
        <v>655</v>
      </c>
      <c r="H27" s="25" t="s">
        <v>656</v>
      </c>
      <c r="I27" s="27" t="s">
        <v>657</v>
      </c>
      <c r="J27" s="27" t="s">
        <v>177</v>
      </c>
      <c r="K27" s="23" t="s">
        <v>119</v>
      </c>
      <c r="L27" s="38" t="s">
        <v>121</v>
      </c>
    </row>
    <row r="28" customFormat="false" ht="36" hidden="false" customHeight="true" outlineLevel="0" collapsed="false">
      <c r="A28" s="22" t="s">
        <v>658</v>
      </c>
      <c r="B28" s="41" t="s">
        <v>148</v>
      </c>
      <c r="C28" s="23" t="s">
        <v>183</v>
      </c>
      <c r="D28" s="28" t="s">
        <v>659</v>
      </c>
      <c r="E28" s="29" t="s">
        <v>660</v>
      </c>
      <c r="F28" s="25" t="s">
        <v>661</v>
      </c>
      <c r="G28" s="25" t="s">
        <v>662</v>
      </c>
      <c r="H28" s="25" t="s">
        <v>663</v>
      </c>
      <c r="I28" s="27" t="s">
        <v>664</v>
      </c>
      <c r="J28" s="27" t="s">
        <v>182</v>
      </c>
      <c r="K28" s="23" t="s">
        <v>119</v>
      </c>
      <c r="L28" s="38" t="s">
        <v>121</v>
      </c>
    </row>
    <row r="29" customFormat="false" ht="36" hidden="false" customHeight="true" outlineLevel="0" collapsed="false">
      <c r="A29" s="22" t="s">
        <v>665</v>
      </c>
      <c r="B29" s="41" t="s">
        <v>148</v>
      </c>
      <c r="C29" s="23" t="s">
        <v>183</v>
      </c>
      <c r="D29" s="28" t="s">
        <v>666</v>
      </c>
      <c r="E29" s="25" t="s">
        <v>667</v>
      </c>
      <c r="F29" s="25" t="s">
        <v>603</v>
      </c>
      <c r="G29" s="25" t="s">
        <v>668</v>
      </c>
      <c r="H29" s="25" t="s">
        <v>669</v>
      </c>
      <c r="I29" s="27" t="s">
        <v>657</v>
      </c>
      <c r="J29" s="27" t="s">
        <v>182</v>
      </c>
      <c r="K29" s="23" t="s">
        <v>119</v>
      </c>
      <c r="L29" s="38" t="s">
        <v>121</v>
      </c>
    </row>
    <row r="30" customFormat="false" ht="36" hidden="false" customHeight="true" outlineLevel="0" collapsed="false">
      <c r="A30" s="22" t="s">
        <v>670</v>
      </c>
      <c r="B30" s="41" t="s">
        <v>148</v>
      </c>
      <c r="C30" s="23" t="s">
        <v>183</v>
      </c>
      <c r="D30" s="28" t="s">
        <v>671</v>
      </c>
      <c r="E30" s="25" t="s">
        <v>672</v>
      </c>
      <c r="F30" s="25" t="s">
        <v>673</v>
      </c>
      <c r="G30" s="25" t="s">
        <v>674</v>
      </c>
      <c r="H30" s="25" t="s">
        <v>675</v>
      </c>
      <c r="I30" s="27" t="s">
        <v>664</v>
      </c>
      <c r="J30" s="27" t="s">
        <v>182</v>
      </c>
      <c r="K30" s="23" t="s">
        <v>120</v>
      </c>
      <c r="L30" s="38" t="s">
        <v>121</v>
      </c>
    </row>
    <row r="31" customFormat="false" ht="36" hidden="false" customHeight="true" outlineLevel="0" collapsed="false">
      <c r="A31" s="22" t="s">
        <v>676</v>
      </c>
      <c r="B31" s="42" t="s">
        <v>188</v>
      </c>
      <c r="C31" s="23" t="s">
        <v>189</v>
      </c>
      <c r="D31" s="24" t="s">
        <v>677</v>
      </c>
      <c r="E31" s="25" t="s">
        <v>678</v>
      </c>
      <c r="F31" s="25" t="s">
        <v>679</v>
      </c>
      <c r="G31" s="25" t="s">
        <v>680</v>
      </c>
      <c r="H31" s="25" t="s">
        <v>681</v>
      </c>
      <c r="I31" s="27" t="s">
        <v>682</v>
      </c>
      <c r="J31" s="27" t="s">
        <v>187</v>
      </c>
      <c r="K31" s="23" t="s">
        <v>119</v>
      </c>
      <c r="L31" s="38" t="s">
        <v>121</v>
      </c>
    </row>
    <row r="32" customFormat="false" ht="36" hidden="false" customHeight="true" outlineLevel="0" collapsed="false">
      <c r="A32" s="22" t="s">
        <v>683</v>
      </c>
      <c r="B32" s="42" t="s">
        <v>188</v>
      </c>
      <c r="C32" s="23" t="s">
        <v>189</v>
      </c>
      <c r="D32" s="24" t="s">
        <v>684</v>
      </c>
      <c r="E32" s="25" t="s">
        <v>685</v>
      </c>
      <c r="F32" s="25" t="s">
        <v>686</v>
      </c>
      <c r="G32" s="25" t="s">
        <v>687</v>
      </c>
      <c r="H32" s="25" t="s">
        <v>681</v>
      </c>
      <c r="I32" s="27" t="s">
        <v>682</v>
      </c>
      <c r="J32" s="27" t="s">
        <v>187</v>
      </c>
      <c r="K32" s="23" t="s">
        <v>119</v>
      </c>
      <c r="L32" s="38" t="s">
        <v>121</v>
      </c>
    </row>
    <row r="33" customFormat="false" ht="36" hidden="false" customHeight="true" outlineLevel="0" collapsed="false">
      <c r="A33" s="22" t="s">
        <v>688</v>
      </c>
      <c r="B33" s="42" t="s">
        <v>188</v>
      </c>
      <c r="C33" s="23" t="s">
        <v>189</v>
      </c>
      <c r="D33" s="24" t="s">
        <v>689</v>
      </c>
      <c r="E33" s="25" t="s">
        <v>690</v>
      </c>
      <c r="F33" s="25" t="s">
        <v>558</v>
      </c>
      <c r="G33" s="25" t="s">
        <v>691</v>
      </c>
      <c r="H33" s="25" t="s">
        <v>692</v>
      </c>
      <c r="I33" s="27" t="s">
        <v>682</v>
      </c>
      <c r="J33" s="27" t="s">
        <v>187</v>
      </c>
      <c r="K33" s="23" t="s">
        <v>119</v>
      </c>
      <c r="L33" s="38" t="s">
        <v>121</v>
      </c>
    </row>
    <row r="34" customFormat="false" ht="36" hidden="false" customHeight="true" outlineLevel="0" collapsed="false">
      <c r="A34" s="22" t="s">
        <v>693</v>
      </c>
      <c r="B34" s="42" t="s">
        <v>188</v>
      </c>
      <c r="C34" s="23" t="s">
        <v>189</v>
      </c>
      <c r="D34" s="24" t="s">
        <v>694</v>
      </c>
      <c r="E34" s="25" t="s">
        <v>695</v>
      </c>
      <c r="F34" s="25" t="s">
        <v>696</v>
      </c>
      <c r="G34" s="25" t="s">
        <v>697</v>
      </c>
      <c r="H34" s="25" t="s">
        <v>628</v>
      </c>
      <c r="I34" s="27" t="s">
        <v>682</v>
      </c>
      <c r="J34" s="27" t="s">
        <v>187</v>
      </c>
      <c r="K34" s="23" t="s">
        <v>119</v>
      </c>
      <c r="L34" s="38" t="s">
        <v>121</v>
      </c>
    </row>
    <row r="35" customFormat="false" ht="36" hidden="false" customHeight="true" outlineLevel="0" collapsed="false">
      <c r="A35" s="22" t="s">
        <v>698</v>
      </c>
      <c r="B35" s="42" t="s">
        <v>188</v>
      </c>
      <c r="C35" s="23" t="s">
        <v>189</v>
      </c>
      <c r="D35" s="24" t="s">
        <v>699</v>
      </c>
      <c r="E35" s="25" t="s">
        <v>700</v>
      </c>
      <c r="F35" s="25" t="s">
        <v>701</v>
      </c>
      <c r="G35" s="25" t="s">
        <v>702</v>
      </c>
      <c r="H35" s="25" t="s">
        <v>703</v>
      </c>
      <c r="I35" s="27" t="s">
        <v>682</v>
      </c>
      <c r="J35" s="27" t="s">
        <v>193</v>
      </c>
      <c r="K35" s="23" t="s">
        <v>120</v>
      </c>
      <c r="L35" s="39" t="s">
        <v>64</v>
      </c>
    </row>
    <row r="36" customFormat="false" ht="36" hidden="false" customHeight="true" outlineLevel="0" collapsed="false">
      <c r="A36" s="22" t="s">
        <v>704</v>
      </c>
      <c r="B36" s="42" t="s">
        <v>188</v>
      </c>
      <c r="C36" s="23" t="s">
        <v>189</v>
      </c>
      <c r="D36" s="24" t="s">
        <v>705</v>
      </c>
      <c r="E36" s="25" t="s">
        <v>706</v>
      </c>
      <c r="F36" s="25" t="s">
        <v>707</v>
      </c>
      <c r="G36" s="25" t="s">
        <v>708</v>
      </c>
      <c r="H36" s="25" t="s">
        <v>709</v>
      </c>
      <c r="I36" s="27" t="s">
        <v>682</v>
      </c>
      <c r="J36" s="27" t="s">
        <v>193</v>
      </c>
      <c r="K36" s="23" t="s">
        <v>120</v>
      </c>
      <c r="L36" s="39" t="s">
        <v>64</v>
      </c>
    </row>
    <row r="37" customFormat="false" ht="36" hidden="false" customHeight="true" outlineLevel="0" collapsed="false">
      <c r="A37" s="22" t="s">
        <v>710</v>
      </c>
      <c r="B37" s="42" t="s">
        <v>188</v>
      </c>
      <c r="C37" s="23" t="s">
        <v>198</v>
      </c>
      <c r="D37" s="24" t="s">
        <v>711</v>
      </c>
      <c r="E37" s="25" t="s">
        <v>712</v>
      </c>
      <c r="F37" s="25" t="s">
        <v>713</v>
      </c>
      <c r="G37" s="25" t="s">
        <v>714</v>
      </c>
      <c r="H37" s="25" t="s">
        <v>715</v>
      </c>
      <c r="I37" s="27" t="s">
        <v>635</v>
      </c>
      <c r="J37" s="27" t="s">
        <v>197</v>
      </c>
      <c r="K37" s="23" t="s">
        <v>119</v>
      </c>
      <c r="L37" s="38" t="s">
        <v>121</v>
      </c>
    </row>
    <row r="38" customFormat="false" ht="36" hidden="false" customHeight="true" outlineLevel="0" collapsed="false">
      <c r="A38" s="22" t="s">
        <v>716</v>
      </c>
      <c r="B38" s="42" t="s">
        <v>188</v>
      </c>
      <c r="C38" s="23" t="s">
        <v>198</v>
      </c>
      <c r="D38" s="24" t="s">
        <v>717</v>
      </c>
      <c r="E38" s="25" t="s">
        <v>718</v>
      </c>
      <c r="F38" s="25" t="s">
        <v>719</v>
      </c>
      <c r="G38" s="25" t="s">
        <v>720</v>
      </c>
      <c r="H38" s="25" t="s">
        <v>721</v>
      </c>
      <c r="I38" s="27" t="s">
        <v>657</v>
      </c>
      <c r="J38" s="27" t="s">
        <v>197</v>
      </c>
      <c r="K38" s="23" t="s">
        <v>119</v>
      </c>
      <c r="L38" s="38" t="s">
        <v>121</v>
      </c>
    </row>
    <row r="39" customFormat="false" ht="36" hidden="false" customHeight="true" outlineLevel="0" collapsed="false">
      <c r="A39" s="22" t="s">
        <v>722</v>
      </c>
      <c r="B39" s="42" t="s">
        <v>188</v>
      </c>
      <c r="C39" s="23" t="s">
        <v>198</v>
      </c>
      <c r="D39" s="24" t="s">
        <v>723</v>
      </c>
      <c r="E39" s="25" t="s">
        <v>724</v>
      </c>
      <c r="F39" s="25" t="s">
        <v>725</v>
      </c>
      <c r="G39" s="25" t="s">
        <v>726</v>
      </c>
      <c r="H39" s="25" t="s">
        <v>727</v>
      </c>
      <c r="I39" s="27" t="s">
        <v>657</v>
      </c>
      <c r="J39" s="27" t="s">
        <v>197</v>
      </c>
      <c r="K39" s="23" t="s">
        <v>119</v>
      </c>
      <c r="L39" s="38" t="s">
        <v>121</v>
      </c>
    </row>
    <row r="40" customFormat="false" ht="36" hidden="false" customHeight="true" outlineLevel="0" collapsed="false">
      <c r="A40" s="22" t="s">
        <v>728</v>
      </c>
      <c r="B40" s="42" t="s">
        <v>188</v>
      </c>
      <c r="C40" s="23" t="s">
        <v>198</v>
      </c>
      <c r="D40" s="24" t="s">
        <v>729</v>
      </c>
      <c r="E40" s="29" t="s">
        <v>730</v>
      </c>
      <c r="F40" s="25" t="s">
        <v>731</v>
      </c>
      <c r="G40" s="25" t="s">
        <v>732</v>
      </c>
      <c r="H40" s="25" t="s">
        <v>733</v>
      </c>
      <c r="I40" s="27" t="s">
        <v>657</v>
      </c>
      <c r="J40" s="27" t="s">
        <v>197</v>
      </c>
      <c r="K40" s="23" t="s">
        <v>119</v>
      </c>
      <c r="L40" s="38" t="s">
        <v>121</v>
      </c>
    </row>
    <row r="41" customFormat="false" ht="36" hidden="false" customHeight="true" outlineLevel="0" collapsed="false">
      <c r="A41" s="22" t="s">
        <v>734</v>
      </c>
      <c r="B41" s="42" t="s">
        <v>188</v>
      </c>
      <c r="C41" s="23" t="s">
        <v>198</v>
      </c>
      <c r="D41" s="24" t="s">
        <v>735</v>
      </c>
      <c r="E41" s="25" t="s">
        <v>736</v>
      </c>
      <c r="F41" s="25" t="s">
        <v>737</v>
      </c>
      <c r="G41" s="25" t="s">
        <v>738</v>
      </c>
      <c r="H41" s="25" t="s">
        <v>739</v>
      </c>
      <c r="I41" s="27" t="s">
        <v>657</v>
      </c>
      <c r="J41" s="27" t="s">
        <v>202</v>
      </c>
      <c r="K41" s="23" t="s">
        <v>119</v>
      </c>
      <c r="L41" s="39" t="s">
        <v>64</v>
      </c>
    </row>
    <row r="42" customFormat="false" ht="36" hidden="false" customHeight="true" outlineLevel="0" collapsed="false">
      <c r="A42" s="22" t="s">
        <v>740</v>
      </c>
      <c r="B42" s="42" t="s">
        <v>188</v>
      </c>
      <c r="C42" s="23" t="s">
        <v>198</v>
      </c>
      <c r="D42" s="24" t="s">
        <v>741</v>
      </c>
      <c r="E42" s="29" t="s">
        <v>742</v>
      </c>
      <c r="F42" s="25" t="s">
        <v>743</v>
      </c>
      <c r="G42" s="25" t="s">
        <v>744</v>
      </c>
      <c r="H42" s="25" t="s">
        <v>745</v>
      </c>
      <c r="I42" s="27" t="s">
        <v>657</v>
      </c>
      <c r="J42" s="27" t="s">
        <v>202</v>
      </c>
      <c r="K42" s="23" t="s">
        <v>120</v>
      </c>
      <c r="L42" s="39" t="s">
        <v>64</v>
      </c>
    </row>
    <row r="43" customFormat="false" ht="36" hidden="false" customHeight="true" outlineLevel="0" collapsed="false">
      <c r="A43" s="22" t="s">
        <v>746</v>
      </c>
      <c r="B43" s="42" t="s">
        <v>188</v>
      </c>
      <c r="C43" s="23" t="s">
        <v>198</v>
      </c>
      <c r="D43" s="24" t="s">
        <v>747</v>
      </c>
      <c r="E43" s="25" t="s">
        <v>748</v>
      </c>
      <c r="F43" s="25" t="s">
        <v>749</v>
      </c>
      <c r="G43" s="25" t="s">
        <v>750</v>
      </c>
      <c r="H43" s="25" t="s">
        <v>751</v>
      </c>
      <c r="I43" s="27" t="s">
        <v>593</v>
      </c>
      <c r="J43" s="27" t="s">
        <v>202</v>
      </c>
      <c r="K43" s="23" t="s">
        <v>119</v>
      </c>
      <c r="L43" s="39" t="s">
        <v>64</v>
      </c>
    </row>
    <row r="44" customFormat="false" ht="36" hidden="false" customHeight="true" outlineLevel="0" collapsed="false">
      <c r="A44" s="22" t="s">
        <v>210</v>
      </c>
      <c r="B44" s="42" t="s">
        <v>188</v>
      </c>
      <c r="C44" s="23" t="s">
        <v>207</v>
      </c>
      <c r="D44" s="24" t="s">
        <v>752</v>
      </c>
      <c r="E44" s="25" t="s">
        <v>753</v>
      </c>
      <c r="F44" s="25" t="s">
        <v>754</v>
      </c>
      <c r="G44" s="25" t="s">
        <v>755</v>
      </c>
      <c r="H44" s="25" t="s">
        <v>756</v>
      </c>
      <c r="I44" s="27" t="s">
        <v>657</v>
      </c>
      <c r="J44" s="27" t="s">
        <v>206</v>
      </c>
      <c r="K44" s="23" t="s">
        <v>119</v>
      </c>
      <c r="L44" s="38" t="s">
        <v>121</v>
      </c>
    </row>
    <row r="45" customFormat="false" ht="36" hidden="false" customHeight="true" outlineLevel="0" collapsed="false">
      <c r="A45" s="22" t="s">
        <v>757</v>
      </c>
      <c r="B45" s="42" t="s">
        <v>188</v>
      </c>
      <c r="C45" s="23" t="s">
        <v>207</v>
      </c>
      <c r="D45" s="24" t="s">
        <v>758</v>
      </c>
      <c r="E45" s="25" t="s">
        <v>759</v>
      </c>
      <c r="F45" s="25" t="s">
        <v>760</v>
      </c>
      <c r="G45" s="25" t="s">
        <v>761</v>
      </c>
      <c r="H45" s="25" t="s">
        <v>721</v>
      </c>
      <c r="I45" s="27" t="s">
        <v>657</v>
      </c>
      <c r="J45" s="27" t="s">
        <v>211</v>
      </c>
      <c r="K45" s="23" t="s">
        <v>119</v>
      </c>
      <c r="L45" s="38" t="s">
        <v>121</v>
      </c>
    </row>
    <row r="46" customFormat="false" ht="36" hidden="false" customHeight="true" outlineLevel="0" collapsed="false">
      <c r="A46" s="22" t="s">
        <v>762</v>
      </c>
      <c r="B46" s="42" t="s">
        <v>188</v>
      </c>
      <c r="C46" s="23" t="s">
        <v>207</v>
      </c>
      <c r="D46" s="24" t="s">
        <v>763</v>
      </c>
      <c r="E46" s="25" t="s">
        <v>764</v>
      </c>
      <c r="F46" s="25" t="s">
        <v>760</v>
      </c>
      <c r="G46" s="25" t="s">
        <v>765</v>
      </c>
      <c r="H46" s="25" t="s">
        <v>766</v>
      </c>
      <c r="I46" s="27" t="s">
        <v>657</v>
      </c>
      <c r="J46" s="27" t="s">
        <v>211</v>
      </c>
      <c r="K46" s="23" t="s">
        <v>119</v>
      </c>
      <c r="L46" s="38" t="s">
        <v>121</v>
      </c>
    </row>
    <row r="47" customFormat="false" ht="36" hidden="false" customHeight="true" outlineLevel="0" collapsed="false">
      <c r="A47" s="22" t="s">
        <v>767</v>
      </c>
      <c r="B47" s="42" t="s">
        <v>188</v>
      </c>
      <c r="C47" s="23" t="s">
        <v>207</v>
      </c>
      <c r="D47" s="24" t="s">
        <v>768</v>
      </c>
      <c r="E47" s="25" t="s">
        <v>769</v>
      </c>
      <c r="F47" s="25" t="s">
        <v>770</v>
      </c>
      <c r="G47" s="25" t="s">
        <v>771</v>
      </c>
      <c r="H47" s="25" t="s">
        <v>772</v>
      </c>
      <c r="I47" s="27" t="s">
        <v>657</v>
      </c>
      <c r="J47" s="27" t="s">
        <v>211</v>
      </c>
      <c r="K47" s="23" t="s">
        <v>120</v>
      </c>
      <c r="L47" s="38" t="s">
        <v>121</v>
      </c>
    </row>
    <row r="48" customFormat="false" ht="36" hidden="false" customHeight="true" outlineLevel="0" collapsed="false">
      <c r="A48" s="22" t="s">
        <v>773</v>
      </c>
      <c r="B48" s="42" t="s">
        <v>188</v>
      </c>
      <c r="C48" s="23" t="s">
        <v>207</v>
      </c>
      <c r="D48" s="24" t="s">
        <v>774</v>
      </c>
      <c r="E48" s="25" t="s">
        <v>775</v>
      </c>
      <c r="F48" s="25" t="s">
        <v>776</v>
      </c>
      <c r="G48" s="25" t="s">
        <v>771</v>
      </c>
      <c r="H48" s="25" t="s">
        <v>777</v>
      </c>
      <c r="I48" s="27" t="s">
        <v>682</v>
      </c>
      <c r="J48" s="27" t="s">
        <v>211</v>
      </c>
      <c r="K48" s="23" t="s">
        <v>120</v>
      </c>
      <c r="L48" s="38" t="s">
        <v>121</v>
      </c>
    </row>
    <row r="49" customFormat="false" ht="36" hidden="false" customHeight="true" outlineLevel="0" collapsed="false">
      <c r="A49" s="22" t="s">
        <v>778</v>
      </c>
      <c r="B49" s="42" t="s">
        <v>188</v>
      </c>
      <c r="C49" s="23" t="s">
        <v>216</v>
      </c>
      <c r="D49" s="24" t="s">
        <v>779</v>
      </c>
      <c r="E49" s="25" t="s">
        <v>780</v>
      </c>
      <c r="F49" s="25" t="s">
        <v>696</v>
      </c>
      <c r="G49" s="25" t="s">
        <v>781</v>
      </c>
      <c r="H49" s="25" t="s">
        <v>782</v>
      </c>
      <c r="I49" s="27" t="s">
        <v>783</v>
      </c>
      <c r="J49" s="27" t="s">
        <v>215</v>
      </c>
      <c r="K49" s="23" t="s">
        <v>119</v>
      </c>
      <c r="L49" s="38" t="s">
        <v>121</v>
      </c>
    </row>
    <row r="50" customFormat="false" ht="36" hidden="false" customHeight="true" outlineLevel="0" collapsed="false">
      <c r="A50" s="22" t="s">
        <v>784</v>
      </c>
      <c r="B50" s="42" t="s">
        <v>188</v>
      </c>
      <c r="C50" s="23" t="s">
        <v>216</v>
      </c>
      <c r="D50" s="24" t="s">
        <v>785</v>
      </c>
      <c r="E50" s="25" t="s">
        <v>786</v>
      </c>
      <c r="F50" s="25" t="s">
        <v>760</v>
      </c>
      <c r="G50" s="25" t="s">
        <v>787</v>
      </c>
      <c r="H50" s="25" t="s">
        <v>788</v>
      </c>
      <c r="I50" s="27" t="s">
        <v>783</v>
      </c>
      <c r="J50" s="27" t="s">
        <v>215</v>
      </c>
      <c r="K50" s="23" t="s">
        <v>119</v>
      </c>
      <c r="L50" s="38" t="s">
        <v>121</v>
      </c>
    </row>
    <row r="51" customFormat="false" ht="36" hidden="false" customHeight="true" outlineLevel="0" collapsed="false">
      <c r="A51" s="22" t="s">
        <v>789</v>
      </c>
      <c r="B51" s="42" t="s">
        <v>188</v>
      </c>
      <c r="C51" s="23" t="s">
        <v>216</v>
      </c>
      <c r="D51" s="24" t="s">
        <v>790</v>
      </c>
      <c r="E51" s="25" t="s">
        <v>791</v>
      </c>
      <c r="F51" s="25" t="s">
        <v>792</v>
      </c>
      <c r="G51" s="25" t="s">
        <v>793</v>
      </c>
      <c r="H51" s="25" t="s">
        <v>794</v>
      </c>
      <c r="I51" s="27" t="s">
        <v>783</v>
      </c>
      <c r="J51" s="27" t="s">
        <v>215</v>
      </c>
      <c r="K51" s="23" t="s">
        <v>120</v>
      </c>
      <c r="L51" s="38" t="s">
        <v>121</v>
      </c>
    </row>
    <row r="52" customFormat="false" ht="36" hidden="false" customHeight="true" outlineLevel="0" collapsed="false">
      <c r="A52" s="22" t="s">
        <v>795</v>
      </c>
      <c r="B52" s="42" t="s">
        <v>188</v>
      </c>
      <c r="C52" s="23" t="s">
        <v>216</v>
      </c>
      <c r="D52" s="24" t="s">
        <v>796</v>
      </c>
      <c r="E52" s="25" t="s">
        <v>797</v>
      </c>
      <c r="F52" s="25" t="s">
        <v>798</v>
      </c>
      <c r="G52" s="29" t="s">
        <v>799</v>
      </c>
      <c r="H52" s="25" t="s">
        <v>800</v>
      </c>
      <c r="I52" s="27" t="s">
        <v>783</v>
      </c>
      <c r="J52" s="27" t="s">
        <v>215</v>
      </c>
      <c r="K52" s="23" t="s">
        <v>120</v>
      </c>
      <c r="L52" s="38" t="s">
        <v>121</v>
      </c>
    </row>
    <row r="53" customFormat="false" ht="36" hidden="false" customHeight="true" outlineLevel="0" collapsed="false">
      <c r="A53" s="22" t="s">
        <v>801</v>
      </c>
      <c r="B53" s="42" t="s">
        <v>188</v>
      </c>
      <c r="C53" s="23" t="s">
        <v>216</v>
      </c>
      <c r="D53" s="24" t="s">
        <v>802</v>
      </c>
      <c r="E53" s="25" t="s">
        <v>803</v>
      </c>
      <c r="F53" s="25" t="s">
        <v>804</v>
      </c>
      <c r="G53" s="29" t="s">
        <v>805</v>
      </c>
      <c r="H53" s="25" t="s">
        <v>806</v>
      </c>
      <c r="I53" s="27" t="s">
        <v>783</v>
      </c>
      <c r="J53" s="27" t="s">
        <v>215</v>
      </c>
      <c r="K53" s="23" t="s">
        <v>119</v>
      </c>
      <c r="L53" s="38" t="s">
        <v>121</v>
      </c>
    </row>
    <row r="54" customFormat="false" ht="36" hidden="false" customHeight="true" outlineLevel="0" collapsed="false">
      <c r="A54" s="22" t="s">
        <v>807</v>
      </c>
      <c r="B54" s="42" t="s">
        <v>188</v>
      </c>
      <c r="C54" s="23" t="s">
        <v>221</v>
      </c>
      <c r="D54" s="24" t="s">
        <v>808</v>
      </c>
      <c r="E54" s="25" t="s">
        <v>809</v>
      </c>
      <c r="F54" s="25" t="s">
        <v>810</v>
      </c>
      <c r="G54" s="25" t="s">
        <v>811</v>
      </c>
      <c r="H54" s="25" t="s">
        <v>812</v>
      </c>
      <c r="I54" s="27" t="s">
        <v>682</v>
      </c>
      <c r="J54" s="27" t="s">
        <v>220</v>
      </c>
      <c r="K54" s="23" t="s">
        <v>119</v>
      </c>
      <c r="L54" s="38" t="s">
        <v>121</v>
      </c>
    </row>
    <row r="55" customFormat="false" ht="36" hidden="false" customHeight="true" outlineLevel="0" collapsed="false">
      <c r="A55" s="22" t="s">
        <v>813</v>
      </c>
      <c r="B55" s="42" t="s">
        <v>188</v>
      </c>
      <c r="C55" s="23" t="s">
        <v>221</v>
      </c>
      <c r="D55" s="24" t="s">
        <v>814</v>
      </c>
      <c r="E55" s="25" t="s">
        <v>815</v>
      </c>
      <c r="F55" s="25" t="s">
        <v>810</v>
      </c>
      <c r="G55" s="25" t="s">
        <v>816</v>
      </c>
      <c r="H55" s="25" t="s">
        <v>812</v>
      </c>
      <c r="I55" s="27" t="s">
        <v>657</v>
      </c>
      <c r="J55" s="27" t="s">
        <v>220</v>
      </c>
      <c r="K55" s="23" t="s">
        <v>119</v>
      </c>
      <c r="L55" s="38" t="s">
        <v>121</v>
      </c>
    </row>
    <row r="56" customFormat="false" ht="36" hidden="false" customHeight="true" outlineLevel="0" collapsed="false">
      <c r="A56" s="22" t="s">
        <v>817</v>
      </c>
      <c r="B56" s="42" t="s">
        <v>188</v>
      </c>
      <c r="C56" s="23" t="s">
        <v>221</v>
      </c>
      <c r="D56" s="24" t="s">
        <v>818</v>
      </c>
      <c r="E56" s="25" t="s">
        <v>819</v>
      </c>
      <c r="F56" s="25" t="s">
        <v>810</v>
      </c>
      <c r="G56" s="25" t="s">
        <v>820</v>
      </c>
      <c r="H56" s="25" t="s">
        <v>821</v>
      </c>
      <c r="I56" s="27" t="s">
        <v>657</v>
      </c>
      <c r="J56" s="27" t="s">
        <v>220</v>
      </c>
      <c r="K56" s="23" t="s">
        <v>120</v>
      </c>
      <c r="L56" s="38" t="s">
        <v>121</v>
      </c>
    </row>
    <row r="57" customFormat="false" ht="36" hidden="false" customHeight="true" outlineLevel="0" collapsed="false">
      <c r="A57" s="22" t="s">
        <v>822</v>
      </c>
      <c r="B57" s="42" t="s">
        <v>188</v>
      </c>
      <c r="C57" s="23" t="s">
        <v>226</v>
      </c>
      <c r="D57" s="24" t="s">
        <v>823</v>
      </c>
      <c r="E57" s="25" t="s">
        <v>824</v>
      </c>
      <c r="F57" s="25" t="s">
        <v>825</v>
      </c>
      <c r="G57" s="25" t="s">
        <v>826</v>
      </c>
      <c r="H57" s="25" t="s">
        <v>827</v>
      </c>
      <c r="I57" s="27" t="s">
        <v>828</v>
      </c>
      <c r="J57" s="27" t="s">
        <v>225</v>
      </c>
      <c r="K57" s="23" t="s">
        <v>119</v>
      </c>
      <c r="L57" s="38" t="s">
        <v>121</v>
      </c>
    </row>
    <row r="58" customFormat="false" ht="36" hidden="false" customHeight="true" outlineLevel="0" collapsed="false">
      <c r="A58" s="22" t="s">
        <v>829</v>
      </c>
      <c r="B58" s="42" t="s">
        <v>188</v>
      </c>
      <c r="C58" s="23" t="s">
        <v>226</v>
      </c>
      <c r="D58" s="24" t="s">
        <v>830</v>
      </c>
      <c r="E58" s="25" t="s">
        <v>831</v>
      </c>
      <c r="F58" s="25" t="s">
        <v>832</v>
      </c>
      <c r="G58" s="25" t="s">
        <v>833</v>
      </c>
      <c r="H58" s="25" t="s">
        <v>834</v>
      </c>
      <c r="I58" s="27" t="s">
        <v>828</v>
      </c>
      <c r="J58" s="27" t="s">
        <v>225</v>
      </c>
      <c r="K58" s="23" t="s">
        <v>120</v>
      </c>
      <c r="L58" s="38" t="s">
        <v>121</v>
      </c>
    </row>
    <row r="59" customFormat="false" ht="36" hidden="false" customHeight="true" outlineLevel="0" collapsed="false">
      <c r="A59" s="22" t="s">
        <v>835</v>
      </c>
      <c r="B59" s="42" t="s">
        <v>188</v>
      </c>
      <c r="C59" s="23" t="s">
        <v>231</v>
      </c>
      <c r="D59" s="24" t="s">
        <v>836</v>
      </c>
      <c r="E59" s="25" t="s">
        <v>837</v>
      </c>
      <c r="F59" s="25" t="s">
        <v>838</v>
      </c>
      <c r="G59" s="25" t="s">
        <v>839</v>
      </c>
      <c r="H59" s="25" t="s">
        <v>840</v>
      </c>
      <c r="I59" s="27" t="s">
        <v>841</v>
      </c>
      <c r="J59" s="27" t="s">
        <v>230</v>
      </c>
      <c r="K59" s="23" t="s">
        <v>120</v>
      </c>
      <c r="L59" s="39" t="s">
        <v>64</v>
      </c>
    </row>
    <row r="60" customFormat="false" ht="36" hidden="false" customHeight="true" outlineLevel="0" collapsed="false">
      <c r="A60" s="22" t="s">
        <v>842</v>
      </c>
      <c r="B60" s="42" t="s">
        <v>188</v>
      </c>
      <c r="C60" s="23" t="s">
        <v>231</v>
      </c>
      <c r="D60" s="24" t="s">
        <v>843</v>
      </c>
      <c r="E60" s="25" t="s">
        <v>844</v>
      </c>
      <c r="F60" s="25" t="s">
        <v>845</v>
      </c>
      <c r="G60" s="25" t="s">
        <v>846</v>
      </c>
      <c r="H60" s="25" t="s">
        <v>847</v>
      </c>
      <c r="I60" s="27" t="s">
        <v>682</v>
      </c>
      <c r="J60" s="27" t="s">
        <v>230</v>
      </c>
      <c r="K60" s="23" t="s">
        <v>120</v>
      </c>
      <c r="L60" s="39" t="s">
        <v>64</v>
      </c>
    </row>
    <row r="61" customFormat="false" ht="36" hidden="false" customHeight="true" outlineLevel="0" collapsed="false">
      <c r="A61" s="22" t="s">
        <v>239</v>
      </c>
      <c r="B61" s="42" t="s">
        <v>188</v>
      </c>
      <c r="C61" s="23" t="s">
        <v>236</v>
      </c>
      <c r="D61" s="24" t="s">
        <v>848</v>
      </c>
      <c r="E61" s="25" t="s">
        <v>849</v>
      </c>
      <c r="F61" s="25" t="s">
        <v>850</v>
      </c>
      <c r="G61" s="25" t="s">
        <v>851</v>
      </c>
      <c r="H61" s="25" t="s">
        <v>852</v>
      </c>
      <c r="I61" s="27" t="s">
        <v>593</v>
      </c>
      <c r="J61" s="27" t="s">
        <v>235</v>
      </c>
      <c r="K61" s="23" t="s">
        <v>119</v>
      </c>
      <c r="L61" s="38" t="s">
        <v>121</v>
      </c>
    </row>
    <row r="62" customFormat="false" ht="36" hidden="false" customHeight="true" outlineLevel="0" collapsed="false">
      <c r="A62" s="22" t="s">
        <v>853</v>
      </c>
      <c r="B62" s="42" t="s">
        <v>188</v>
      </c>
      <c r="C62" s="23" t="s">
        <v>241</v>
      </c>
      <c r="D62" s="28" t="s">
        <v>854</v>
      </c>
      <c r="E62" s="25" t="s">
        <v>855</v>
      </c>
      <c r="F62" s="29" t="s">
        <v>856</v>
      </c>
      <c r="G62" s="25" t="s">
        <v>820</v>
      </c>
      <c r="H62" s="29" t="s">
        <v>857</v>
      </c>
      <c r="I62" s="27" t="s">
        <v>657</v>
      </c>
      <c r="J62" s="27" t="s">
        <v>240</v>
      </c>
      <c r="K62" s="23" t="s">
        <v>120</v>
      </c>
      <c r="L62" s="39" t="s">
        <v>64</v>
      </c>
    </row>
    <row r="63" customFormat="false" ht="36" hidden="false" customHeight="true" outlineLevel="0" collapsed="false">
      <c r="A63" s="22" t="s">
        <v>858</v>
      </c>
      <c r="B63" s="42" t="s">
        <v>188</v>
      </c>
      <c r="C63" s="23" t="s">
        <v>241</v>
      </c>
      <c r="D63" s="24" t="s">
        <v>859</v>
      </c>
      <c r="E63" s="25" t="s">
        <v>860</v>
      </c>
      <c r="F63" s="29" t="s">
        <v>861</v>
      </c>
      <c r="G63" s="25" t="s">
        <v>811</v>
      </c>
      <c r="H63" s="25" t="s">
        <v>862</v>
      </c>
      <c r="I63" s="27" t="s">
        <v>682</v>
      </c>
      <c r="J63" s="27" t="s">
        <v>240</v>
      </c>
      <c r="K63" s="23" t="s">
        <v>127</v>
      </c>
      <c r="L63" s="39" t="s">
        <v>64</v>
      </c>
    </row>
    <row r="64" customFormat="false" ht="36" hidden="false" customHeight="true" outlineLevel="0" collapsed="false">
      <c r="A64" s="22" t="s">
        <v>863</v>
      </c>
      <c r="B64" s="43" t="s">
        <v>246</v>
      </c>
      <c r="C64" s="23" t="s">
        <v>247</v>
      </c>
      <c r="D64" s="24" t="s">
        <v>864</v>
      </c>
      <c r="E64" s="25" t="s">
        <v>865</v>
      </c>
      <c r="F64" s="25" t="s">
        <v>866</v>
      </c>
      <c r="G64" s="25" t="s">
        <v>867</v>
      </c>
      <c r="H64" s="25" t="s">
        <v>868</v>
      </c>
      <c r="I64" s="27" t="s">
        <v>869</v>
      </c>
      <c r="J64" s="27" t="s">
        <v>245</v>
      </c>
      <c r="K64" s="23" t="s">
        <v>119</v>
      </c>
      <c r="L64" s="38" t="s">
        <v>121</v>
      </c>
    </row>
    <row r="65" customFormat="false" ht="36" hidden="false" customHeight="true" outlineLevel="0" collapsed="false">
      <c r="A65" s="22" t="s">
        <v>870</v>
      </c>
      <c r="B65" s="43" t="s">
        <v>246</v>
      </c>
      <c r="C65" s="23" t="s">
        <v>247</v>
      </c>
      <c r="D65" s="24" t="s">
        <v>871</v>
      </c>
      <c r="E65" s="25" t="s">
        <v>872</v>
      </c>
      <c r="F65" s="29" t="s">
        <v>593</v>
      </c>
      <c r="G65" s="25" t="s">
        <v>873</v>
      </c>
      <c r="H65" s="25" t="s">
        <v>874</v>
      </c>
      <c r="I65" s="27" t="s">
        <v>875</v>
      </c>
      <c r="J65" s="27" t="s">
        <v>245</v>
      </c>
      <c r="K65" s="23" t="s">
        <v>119</v>
      </c>
      <c r="L65" s="38" t="s">
        <v>121</v>
      </c>
    </row>
    <row r="66" customFormat="false" ht="36" hidden="false" customHeight="true" outlineLevel="0" collapsed="false">
      <c r="A66" s="22" t="s">
        <v>876</v>
      </c>
      <c r="B66" s="43" t="s">
        <v>246</v>
      </c>
      <c r="C66" s="23" t="s">
        <v>247</v>
      </c>
      <c r="D66" s="24" t="s">
        <v>877</v>
      </c>
      <c r="E66" s="25" t="s">
        <v>878</v>
      </c>
      <c r="F66" s="25" t="s">
        <v>558</v>
      </c>
      <c r="G66" s="25" t="s">
        <v>879</v>
      </c>
      <c r="H66" s="25" t="s">
        <v>880</v>
      </c>
      <c r="I66" s="27" t="s">
        <v>869</v>
      </c>
      <c r="J66" s="27" t="s">
        <v>245</v>
      </c>
      <c r="K66" s="23" t="s">
        <v>119</v>
      </c>
      <c r="L66" s="38" t="s">
        <v>121</v>
      </c>
    </row>
    <row r="67" customFormat="false" ht="36" hidden="false" customHeight="true" outlineLevel="0" collapsed="false">
      <c r="A67" s="22" t="s">
        <v>881</v>
      </c>
      <c r="B67" s="43" t="s">
        <v>246</v>
      </c>
      <c r="C67" s="23" t="s">
        <v>247</v>
      </c>
      <c r="D67" s="24" t="s">
        <v>882</v>
      </c>
      <c r="E67" s="25" t="s">
        <v>883</v>
      </c>
      <c r="F67" s="25" t="s">
        <v>884</v>
      </c>
      <c r="G67" s="25" t="s">
        <v>885</v>
      </c>
      <c r="H67" s="25" t="s">
        <v>628</v>
      </c>
      <c r="I67" s="27" t="s">
        <v>875</v>
      </c>
      <c r="J67" s="27" t="s">
        <v>245</v>
      </c>
      <c r="K67" s="23" t="s">
        <v>119</v>
      </c>
      <c r="L67" s="38" t="s">
        <v>121</v>
      </c>
    </row>
    <row r="68" customFormat="false" ht="36" hidden="false" customHeight="true" outlineLevel="0" collapsed="false">
      <c r="A68" s="22" t="s">
        <v>886</v>
      </c>
      <c r="B68" s="43" t="s">
        <v>246</v>
      </c>
      <c r="C68" s="23" t="s">
        <v>247</v>
      </c>
      <c r="D68" s="24" t="s">
        <v>887</v>
      </c>
      <c r="E68" s="25" t="s">
        <v>888</v>
      </c>
      <c r="F68" s="25" t="s">
        <v>889</v>
      </c>
      <c r="G68" s="25" t="s">
        <v>890</v>
      </c>
      <c r="H68" s="25" t="s">
        <v>891</v>
      </c>
      <c r="I68" s="27" t="s">
        <v>869</v>
      </c>
      <c r="J68" s="27" t="s">
        <v>251</v>
      </c>
      <c r="K68" s="23" t="s">
        <v>119</v>
      </c>
      <c r="L68" s="38" t="s">
        <v>121</v>
      </c>
    </row>
    <row r="69" customFormat="false" ht="36" hidden="false" customHeight="true" outlineLevel="0" collapsed="false">
      <c r="A69" s="22" t="s">
        <v>892</v>
      </c>
      <c r="B69" s="43" t="s">
        <v>246</v>
      </c>
      <c r="C69" s="23" t="s">
        <v>247</v>
      </c>
      <c r="D69" s="24" t="s">
        <v>893</v>
      </c>
      <c r="E69" s="25" t="s">
        <v>894</v>
      </c>
      <c r="F69" s="25" t="s">
        <v>895</v>
      </c>
      <c r="G69" s="25" t="s">
        <v>896</v>
      </c>
      <c r="H69" s="25" t="s">
        <v>897</v>
      </c>
      <c r="I69" s="27" t="s">
        <v>869</v>
      </c>
      <c r="J69" s="27" t="s">
        <v>251</v>
      </c>
      <c r="K69" s="23" t="s">
        <v>119</v>
      </c>
      <c r="L69" s="38" t="s">
        <v>121</v>
      </c>
    </row>
    <row r="70" customFormat="false" ht="36" hidden="false" customHeight="true" outlineLevel="0" collapsed="false">
      <c r="A70" s="22" t="s">
        <v>898</v>
      </c>
      <c r="B70" s="43" t="s">
        <v>246</v>
      </c>
      <c r="C70" s="23" t="s">
        <v>256</v>
      </c>
      <c r="D70" s="24" t="s">
        <v>899</v>
      </c>
      <c r="E70" s="25" t="s">
        <v>900</v>
      </c>
      <c r="F70" s="25" t="s">
        <v>901</v>
      </c>
      <c r="G70" s="25" t="s">
        <v>902</v>
      </c>
      <c r="H70" s="25" t="s">
        <v>681</v>
      </c>
      <c r="I70" s="27" t="s">
        <v>875</v>
      </c>
      <c r="J70" s="27" t="s">
        <v>255</v>
      </c>
      <c r="K70" s="23" t="s">
        <v>119</v>
      </c>
      <c r="L70" s="38" t="s">
        <v>121</v>
      </c>
    </row>
    <row r="71" customFormat="false" ht="36" hidden="false" customHeight="true" outlineLevel="0" collapsed="false">
      <c r="A71" s="22" t="s">
        <v>903</v>
      </c>
      <c r="B71" s="43" t="s">
        <v>246</v>
      </c>
      <c r="C71" s="23" t="s">
        <v>256</v>
      </c>
      <c r="D71" s="24" t="s">
        <v>904</v>
      </c>
      <c r="E71" s="25" t="s">
        <v>905</v>
      </c>
      <c r="F71" s="25" t="s">
        <v>906</v>
      </c>
      <c r="G71" s="25" t="s">
        <v>907</v>
      </c>
      <c r="H71" s="25" t="s">
        <v>908</v>
      </c>
      <c r="I71" s="27" t="s">
        <v>828</v>
      </c>
      <c r="J71" s="27" t="s">
        <v>255</v>
      </c>
      <c r="K71" s="23" t="s">
        <v>120</v>
      </c>
      <c r="L71" s="38" t="s">
        <v>121</v>
      </c>
    </row>
    <row r="72" customFormat="false" ht="36" hidden="false" customHeight="true" outlineLevel="0" collapsed="false">
      <c r="A72" s="22" t="s">
        <v>909</v>
      </c>
      <c r="B72" s="43" t="s">
        <v>246</v>
      </c>
      <c r="C72" s="23" t="s">
        <v>261</v>
      </c>
      <c r="D72" s="24" t="s">
        <v>910</v>
      </c>
      <c r="E72" s="25" t="s">
        <v>911</v>
      </c>
      <c r="F72" s="25" t="s">
        <v>912</v>
      </c>
      <c r="G72" s="25" t="s">
        <v>913</v>
      </c>
      <c r="H72" s="25" t="s">
        <v>914</v>
      </c>
      <c r="I72" s="27" t="s">
        <v>915</v>
      </c>
      <c r="J72" s="27" t="s">
        <v>260</v>
      </c>
      <c r="K72" s="23" t="s">
        <v>120</v>
      </c>
      <c r="L72" s="39" t="s">
        <v>64</v>
      </c>
    </row>
    <row r="73" customFormat="false" ht="36" hidden="false" customHeight="true" outlineLevel="0" collapsed="false">
      <c r="A73" s="22" t="s">
        <v>916</v>
      </c>
      <c r="B73" s="43" t="s">
        <v>246</v>
      </c>
      <c r="C73" s="23" t="s">
        <v>261</v>
      </c>
      <c r="D73" s="24" t="s">
        <v>917</v>
      </c>
      <c r="E73" s="25" t="s">
        <v>918</v>
      </c>
      <c r="F73" s="25" t="s">
        <v>919</v>
      </c>
      <c r="G73" s="25" t="s">
        <v>920</v>
      </c>
      <c r="H73" s="25" t="s">
        <v>921</v>
      </c>
      <c r="I73" s="27" t="s">
        <v>915</v>
      </c>
      <c r="J73" s="27" t="s">
        <v>260</v>
      </c>
      <c r="K73" s="23" t="s">
        <v>120</v>
      </c>
      <c r="L73" s="39" t="s">
        <v>64</v>
      </c>
    </row>
    <row r="74" customFormat="false" ht="36" hidden="false" customHeight="true" outlineLevel="0" collapsed="false">
      <c r="A74" s="22" t="s">
        <v>922</v>
      </c>
      <c r="B74" s="43" t="s">
        <v>246</v>
      </c>
      <c r="C74" s="23" t="s">
        <v>261</v>
      </c>
      <c r="D74" s="24" t="s">
        <v>923</v>
      </c>
      <c r="E74" s="25" t="s">
        <v>924</v>
      </c>
      <c r="F74" s="25" t="s">
        <v>925</v>
      </c>
      <c r="G74" s="25" t="s">
        <v>926</v>
      </c>
      <c r="H74" s="25" t="s">
        <v>927</v>
      </c>
      <c r="I74" s="27" t="s">
        <v>527</v>
      </c>
      <c r="J74" s="27" t="s">
        <v>260</v>
      </c>
      <c r="K74" s="23" t="s">
        <v>120</v>
      </c>
      <c r="L74" s="39" t="s">
        <v>64</v>
      </c>
    </row>
    <row r="75" customFormat="false" ht="36" hidden="false" customHeight="true" outlineLevel="0" collapsed="false">
      <c r="A75" s="22" t="s">
        <v>928</v>
      </c>
      <c r="B75" s="43" t="s">
        <v>246</v>
      </c>
      <c r="C75" s="23" t="s">
        <v>266</v>
      </c>
      <c r="D75" s="24" t="s">
        <v>929</v>
      </c>
      <c r="E75" s="25" t="s">
        <v>930</v>
      </c>
      <c r="F75" s="25" t="s">
        <v>931</v>
      </c>
      <c r="G75" s="25" t="s">
        <v>932</v>
      </c>
      <c r="H75" s="25" t="s">
        <v>933</v>
      </c>
      <c r="I75" s="27" t="s">
        <v>934</v>
      </c>
      <c r="J75" s="27" t="s">
        <v>265</v>
      </c>
      <c r="K75" s="23" t="s">
        <v>127</v>
      </c>
      <c r="L75" s="40" t="s">
        <v>67</v>
      </c>
    </row>
    <row r="76" customFormat="false" ht="36" hidden="false" customHeight="true" outlineLevel="0" collapsed="false">
      <c r="A76" s="22" t="s">
        <v>935</v>
      </c>
      <c r="B76" s="43" t="s">
        <v>246</v>
      </c>
      <c r="C76" s="23" t="s">
        <v>266</v>
      </c>
      <c r="D76" s="24" t="s">
        <v>936</v>
      </c>
      <c r="E76" s="25" t="s">
        <v>937</v>
      </c>
      <c r="F76" s="25" t="s">
        <v>938</v>
      </c>
      <c r="G76" s="25" t="s">
        <v>939</v>
      </c>
      <c r="H76" s="25" t="s">
        <v>940</v>
      </c>
      <c r="I76" s="27" t="s">
        <v>934</v>
      </c>
      <c r="J76" s="27" t="s">
        <v>265</v>
      </c>
      <c r="K76" s="23" t="s">
        <v>127</v>
      </c>
      <c r="L76" s="40" t="s">
        <v>67</v>
      </c>
    </row>
    <row r="77" customFormat="false" ht="36" hidden="false" customHeight="true" outlineLevel="0" collapsed="false">
      <c r="A77" s="22" t="s">
        <v>941</v>
      </c>
      <c r="B77" s="43" t="s">
        <v>246</v>
      </c>
      <c r="C77" s="23" t="s">
        <v>266</v>
      </c>
      <c r="D77" s="24" t="s">
        <v>942</v>
      </c>
      <c r="E77" s="25" t="s">
        <v>943</v>
      </c>
      <c r="F77" s="25" t="s">
        <v>944</v>
      </c>
      <c r="G77" s="25" t="s">
        <v>945</v>
      </c>
      <c r="H77" s="25" t="s">
        <v>946</v>
      </c>
      <c r="I77" s="27" t="s">
        <v>657</v>
      </c>
      <c r="J77" s="27" t="s">
        <v>265</v>
      </c>
      <c r="K77" s="23" t="s">
        <v>127</v>
      </c>
      <c r="L77" s="40" t="s">
        <v>67</v>
      </c>
    </row>
    <row r="78" customFormat="false" ht="36" hidden="false" customHeight="true" outlineLevel="0" collapsed="false">
      <c r="A78" s="22" t="s">
        <v>947</v>
      </c>
      <c r="B78" s="43" t="s">
        <v>246</v>
      </c>
      <c r="C78" s="23" t="s">
        <v>247</v>
      </c>
      <c r="D78" s="24" t="s">
        <v>948</v>
      </c>
      <c r="E78" s="25" t="s">
        <v>949</v>
      </c>
      <c r="F78" s="25" t="s">
        <v>884</v>
      </c>
      <c r="G78" s="25" t="s">
        <v>950</v>
      </c>
      <c r="H78" s="25" t="s">
        <v>951</v>
      </c>
      <c r="I78" s="27" t="s">
        <v>875</v>
      </c>
      <c r="J78" s="27" t="s">
        <v>270</v>
      </c>
      <c r="K78" s="23" t="s">
        <v>127</v>
      </c>
      <c r="L78" s="40" t="s">
        <v>67</v>
      </c>
    </row>
    <row r="79" customFormat="false" ht="36" hidden="false" customHeight="true" outlineLevel="0" collapsed="false">
      <c r="A79" s="22" t="s">
        <v>952</v>
      </c>
      <c r="B79" s="43" t="s">
        <v>246</v>
      </c>
      <c r="C79" s="23" t="s">
        <v>247</v>
      </c>
      <c r="D79" s="24" t="s">
        <v>953</v>
      </c>
      <c r="E79" s="25" t="s">
        <v>954</v>
      </c>
      <c r="F79" s="25" t="s">
        <v>955</v>
      </c>
      <c r="G79" s="25" t="s">
        <v>956</v>
      </c>
      <c r="H79" s="25" t="s">
        <v>957</v>
      </c>
      <c r="I79" s="27" t="s">
        <v>869</v>
      </c>
      <c r="J79" s="27" t="s">
        <v>270</v>
      </c>
      <c r="K79" s="23" t="s">
        <v>127</v>
      </c>
      <c r="L79" s="40" t="s">
        <v>67</v>
      </c>
    </row>
    <row r="80" customFormat="false" ht="36" hidden="false" customHeight="true" outlineLevel="0" collapsed="false">
      <c r="A80" s="22" t="s">
        <v>958</v>
      </c>
      <c r="B80" s="43" t="s">
        <v>246</v>
      </c>
      <c r="C80" s="23" t="s">
        <v>275</v>
      </c>
      <c r="D80" s="24" t="s">
        <v>959</v>
      </c>
      <c r="E80" s="25" t="s">
        <v>960</v>
      </c>
      <c r="F80" s="25" t="s">
        <v>961</v>
      </c>
      <c r="G80" s="25" t="s">
        <v>962</v>
      </c>
      <c r="H80" s="25" t="s">
        <v>963</v>
      </c>
      <c r="I80" s="27" t="s">
        <v>964</v>
      </c>
      <c r="J80" s="27" t="s">
        <v>274</v>
      </c>
      <c r="K80" s="23" t="s">
        <v>120</v>
      </c>
      <c r="L80" s="39" t="s">
        <v>64</v>
      </c>
    </row>
    <row r="81" customFormat="false" ht="36" hidden="false" customHeight="true" outlineLevel="0" collapsed="false">
      <c r="A81" s="22" t="s">
        <v>965</v>
      </c>
      <c r="B81" s="43" t="s">
        <v>246</v>
      </c>
      <c r="C81" s="23" t="s">
        <v>275</v>
      </c>
      <c r="D81" s="24" t="s">
        <v>966</v>
      </c>
      <c r="E81" s="25" t="s">
        <v>967</v>
      </c>
      <c r="F81" s="25" t="s">
        <v>968</v>
      </c>
      <c r="G81" s="25" t="s">
        <v>969</v>
      </c>
      <c r="H81" s="25" t="s">
        <v>970</v>
      </c>
      <c r="I81" s="27" t="s">
        <v>964</v>
      </c>
      <c r="J81" s="27" t="s">
        <v>274</v>
      </c>
      <c r="K81" s="23" t="s">
        <v>120</v>
      </c>
      <c r="L81" s="39" t="s">
        <v>64</v>
      </c>
    </row>
    <row r="82" customFormat="false" ht="36" hidden="false" customHeight="true" outlineLevel="0" collapsed="false">
      <c r="A82" s="22" t="s">
        <v>971</v>
      </c>
      <c r="B82" s="44" t="s">
        <v>280</v>
      </c>
      <c r="C82" s="23" t="s">
        <v>281</v>
      </c>
      <c r="D82" s="24" t="s">
        <v>282</v>
      </c>
      <c r="E82" s="25" t="s">
        <v>972</v>
      </c>
      <c r="F82" s="25" t="s">
        <v>973</v>
      </c>
      <c r="G82" s="25" t="s">
        <v>974</v>
      </c>
      <c r="H82" s="25" t="s">
        <v>975</v>
      </c>
      <c r="I82" s="27" t="s">
        <v>976</v>
      </c>
      <c r="J82" s="27" t="s">
        <v>279</v>
      </c>
      <c r="K82" s="23" t="s">
        <v>119</v>
      </c>
      <c r="L82" s="38" t="s">
        <v>121</v>
      </c>
    </row>
    <row r="83" customFormat="false" ht="36" hidden="false" customHeight="true" outlineLevel="0" collapsed="false">
      <c r="A83" s="22" t="s">
        <v>977</v>
      </c>
      <c r="B83" s="44" t="s">
        <v>280</v>
      </c>
      <c r="C83" s="23" t="s">
        <v>281</v>
      </c>
      <c r="D83" s="24" t="s">
        <v>978</v>
      </c>
      <c r="E83" s="25" t="s">
        <v>979</v>
      </c>
      <c r="F83" s="25" t="s">
        <v>980</v>
      </c>
      <c r="G83" s="25" t="s">
        <v>981</v>
      </c>
      <c r="H83" s="25" t="s">
        <v>982</v>
      </c>
      <c r="I83" s="27" t="s">
        <v>976</v>
      </c>
      <c r="J83" s="27" t="s">
        <v>279</v>
      </c>
      <c r="K83" s="23" t="s">
        <v>119</v>
      </c>
      <c r="L83" s="38" t="s">
        <v>121</v>
      </c>
    </row>
    <row r="84" customFormat="false" ht="36" hidden="false" customHeight="true" outlineLevel="0" collapsed="false">
      <c r="A84" s="22" t="s">
        <v>289</v>
      </c>
      <c r="B84" s="44" t="s">
        <v>280</v>
      </c>
      <c r="C84" s="23" t="s">
        <v>286</v>
      </c>
      <c r="D84" s="24" t="s">
        <v>983</v>
      </c>
      <c r="E84" s="25" t="s">
        <v>984</v>
      </c>
      <c r="F84" s="25" t="s">
        <v>639</v>
      </c>
      <c r="G84" s="25" t="s">
        <v>985</v>
      </c>
      <c r="H84" s="25" t="s">
        <v>986</v>
      </c>
      <c r="I84" s="27" t="s">
        <v>976</v>
      </c>
      <c r="J84" s="27" t="s">
        <v>285</v>
      </c>
      <c r="K84" s="23" t="s">
        <v>120</v>
      </c>
      <c r="L84" s="39" t="s">
        <v>64</v>
      </c>
    </row>
    <row r="85" customFormat="false" ht="36" hidden="false" customHeight="true" outlineLevel="0" collapsed="false">
      <c r="A85" s="22" t="s">
        <v>987</v>
      </c>
      <c r="B85" s="44" t="s">
        <v>280</v>
      </c>
      <c r="C85" s="23" t="s">
        <v>291</v>
      </c>
      <c r="D85" s="24" t="s">
        <v>988</v>
      </c>
      <c r="E85" s="25" t="s">
        <v>989</v>
      </c>
      <c r="F85" s="25" t="s">
        <v>990</v>
      </c>
      <c r="G85" s="25" t="s">
        <v>991</v>
      </c>
      <c r="H85" s="25" t="s">
        <v>992</v>
      </c>
      <c r="I85" s="27" t="s">
        <v>976</v>
      </c>
      <c r="J85" s="27" t="s">
        <v>290</v>
      </c>
      <c r="K85" s="23" t="s">
        <v>120</v>
      </c>
      <c r="L85" s="39" t="s">
        <v>64</v>
      </c>
    </row>
    <row r="86" customFormat="false" ht="36" hidden="false" customHeight="true" outlineLevel="0" collapsed="false">
      <c r="A86" s="22" t="s">
        <v>993</v>
      </c>
      <c r="B86" s="44" t="s">
        <v>280</v>
      </c>
      <c r="C86" s="23" t="s">
        <v>291</v>
      </c>
      <c r="D86" s="24" t="s">
        <v>994</v>
      </c>
      <c r="E86" s="25" t="s">
        <v>995</v>
      </c>
      <c r="F86" s="25" t="s">
        <v>696</v>
      </c>
      <c r="G86" s="25" t="s">
        <v>996</v>
      </c>
      <c r="H86" s="25" t="s">
        <v>997</v>
      </c>
      <c r="I86" s="27" t="s">
        <v>976</v>
      </c>
      <c r="J86" s="27" t="s">
        <v>290</v>
      </c>
      <c r="K86" s="23" t="s">
        <v>120</v>
      </c>
      <c r="L86" s="39" t="s">
        <v>64</v>
      </c>
    </row>
    <row r="87" customFormat="false" ht="36" hidden="false" customHeight="true" outlineLevel="0" collapsed="false">
      <c r="A87" s="22" t="s">
        <v>998</v>
      </c>
      <c r="B87" s="44" t="s">
        <v>280</v>
      </c>
      <c r="C87" s="23" t="s">
        <v>281</v>
      </c>
      <c r="D87" s="24" t="s">
        <v>999</v>
      </c>
      <c r="E87" s="25" t="s">
        <v>1000</v>
      </c>
      <c r="F87" s="25" t="s">
        <v>1001</v>
      </c>
      <c r="G87" s="25" t="s">
        <v>1002</v>
      </c>
      <c r="H87" s="25" t="s">
        <v>1003</v>
      </c>
      <c r="I87" s="27" t="s">
        <v>1004</v>
      </c>
      <c r="J87" s="27" t="s">
        <v>295</v>
      </c>
      <c r="K87" s="23" t="s">
        <v>120</v>
      </c>
      <c r="L87" s="39" t="s">
        <v>64</v>
      </c>
    </row>
    <row r="88" customFormat="false" ht="36" hidden="false" customHeight="true" outlineLevel="0" collapsed="false">
      <c r="A88" s="22" t="s">
        <v>1005</v>
      </c>
      <c r="B88" s="44" t="s">
        <v>280</v>
      </c>
      <c r="C88" s="23" t="s">
        <v>281</v>
      </c>
      <c r="D88" s="24" t="s">
        <v>1006</v>
      </c>
      <c r="E88" s="25" t="s">
        <v>1007</v>
      </c>
      <c r="F88" s="25" t="s">
        <v>1008</v>
      </c>
      <c r="G88" s="25" t="s">
        <v>1009</v>
      </c>
      <c r="H88" s="25" t="s">
        <v>1010</v>
      </c>
      <c r="I88" s="27" t="s">
        <v>976</v>
      </c>
      <c r="J88" s="27" t="s">
        <v>295</v>
      </c>
      <c r="K88" s="23" t="s">
        <v>119</v>
      </c>
      <c r="L88" s="38" t="s">
        <v>121</v>
      </c>
    </row>
    <row r="89" customFormat="false" ht="36" hidden="false" customHeight="true" outlineLevel="0" collapsed="false">
      <c r="A89" s="22" t="s">
        <v>303</v>
      </c>
      <c r="B89" s="44" t="s">
        <v>280</v>
      </c>
      <c r="C89" s="23" t="s">
        <v>300</v>
      </c>
      <c r="D89" s="24" t="s">
        <v>1011</v>
      </c>
      <c r="E89" s="25" t="s">
        <v>1012</v>
      </c>
      <c r="F89" s="25" t="s">
        <v>1013</v>
      </c>
      <c r="G89" s="25" t="s">
        <v>1014</v>
      </c>
      <c r="H89" s="25" t="s">
        <v>1015</v>
      </c>
      <c r="I89" s="27" t="s">
        <v>527</v>
      </c>
      <c r="J89" s="27" t="s">
        <v>299</v>
      </c>
      <c r="K89" s="23" t="s">
        <v>127</v>
      </c>
      <c r="L89" s="40" t="s">
        <v>67</v>
      </c>
    </row>
    <row r="90" customFormat="false" ht="36" hidden="false" customHeight="true" outlineLevel="0" collapsed="false">
      <c r="A90" s="22" t="s">
        <v>1016</v>
      </c>
      <c r="B90" s="45" t="s">
        <v>305</v>
      </c>
      <c r="C90" s="27" t="s">
        <v>79</v>
      </c>
      <c r="D90" s="24" t="s">
        <v>1017</v>
      </c>
      <c r="E90" s="25" t="s">
        <v>1018</v>
      </c>
      <c r="F90" s="25" t="s">
        <v>725</v>
      </c>
      <c r="G90" s="25" t="s">
        <v>1019</v>
      </c>
      <c r="H90" s="25" t="s">
        <v>1020</v>
      </c>
      <c r="I90" s="27" t="s">
        <v>1021</v>
      </c>
      <c r="J90" s="27" t="s">
        <v>304</v>
      </c>
      <c r="K90" s="23" t="s">
        <v>119</v>
      </c>
      <c r="L90" s="39" t="s">
        <v>64</v>
      </c>
    </row>
    <row r="91" customFormat="false" ht="36" hidden="false" customHeight="true" outlineLevel="0" collapsed="false">
      <c r="A91" s="22" t="s">
        <v>1022</v>
      </c>
      <c r="B91" s="45" t="s">
        <v>305</v>
      </c>
      <c r="C91" s="27" t="s">
        <v>79</v>
      </c>
      <c r="D91" s="28" t="s">
        <v>1023</v>
      </c>
      <c r="E91" s="29" t="s">
        <v>1024</v>
      </c>
      <c r="F91" s="25" t="s">
        <v>1025</v>
      </c>
      <c r="G91" s="25" t="s">
        <v>1026</v>
      </c>
      <c r="H91" s="25" t="s">
        <v>1027</v>
      </c>
      <c r="I91" s="27" t="s">
        <v>571</v>
      </c>
      <c r="J91" s="27" t="s">
        <v>304</v>
      </c>
      <c r="K91" s="23" t="s">
        <v>120</v>
      </c>
      <c r="L91" s="39" t="s">
        <v>64</v>
      </c>
    </row>
    <row r="92" customFormat="false" ht="36" hidden="false" customHeight="true" outlineLevel="0" collapsed="false">
      <c r="A92" s="22" t="s">
        <v>1028</v>
      </c>
      <c r="B92" s="45" t="s">
        <v>305</v>
      </c>
      <c r="C92" s="27" t="s">
        <v>79</v>
      </c>
      <c r="D92" s="24" t="s">
        <v>1029</v>
      </c>
      <c r="E92" s="25" t="s">
        <v>1030</v>
      </c>
      <c r="F92" s="25" t="s">
        <v>1031</v>
      </c>
      <c r="G92" s="25" t="s">
        <v>1032</v>
      </c>
      <c r="H92" s="25" t="s">
        <v>1033</v>
      </c>
      <c r="I92" s="27" t="s">
        <v>1021</v>
      </c>
      <c r="J92" s="27" t="s">
        <v>304</v>
      </c>
      <c r="K92" s="23" t="s">
        <v>120</v>
      </c>
      <c r="L92" s="39" t="s">
        <v>64</v>
      </c>
    </row>
    <row r="93" customFormat="false" ht="36" hidden="false" customHeight="true" outlineLevel="0" collapsed="false">
      <c r="A93" s="22" t="s">
        <v>1034</v>
      </c>
      <c r="B93" s="45" t="s">
        <v>305</v>
      </c>
      <c r="C93" s="23" t="s">
        <v>310</v>
      </c>
      <c r="D93" s="24" t="s">
        <v>1035</v>
      </c>
      <c r="E93" s="25" t="s">
        <v>1036</v>
      </c>
      <c r="F93" s="25" t="s">
        <v>1037</v>
      </c>
      <c r="G93" s="25" t="s">
        <v>1038</v>
      </c>
      <c r="H93" s="25" t="s">
        <v>1039</v>
      </c>
      <c r="I93" s="27" t="s">
        <v>657</v>
      </c>
      <c r="J93" s="27" t="s">
        <v>309</v>
      </c>
      <c r="K93" s="23" t="s">
        <v>119</v>
      </c>
      <c r="L93" s="39" t="s">
        <v>64</v>
      </c>
    </row>
    <row r="94" customFormat="false" ht="36" hidden="false" customHeight="true" outlineLevel="0" collapsed="false">
      <c r="A94" s="22" t="s">
        <v>1040</v>
      </c>
      <c r="B94" s="45" t="s">
        <v>305</v>
      </c>
      <c r="C94" s="23" t="s">
        <v>310</v>
      </c>
      <c r="D94" s="24" t="s">
        <v>1041</v>
      </c>
      <c r="E94" s="25" t="s">
        <v>1042</v>
      </c>
      <c r="F94" s="25" t="s">
        <v>1043</v>
      </c>
      <c r="G94" s="25" t="s">
        <v>1044</v>
      </c>
      <c r="H94" s="25" t="s">
        <v>1045</v>
      </c>
      <c r="I94" s="27" t="s">
        <v>828</v>
      </c>
      <c r="J94" s="27" t="s">
        <v>309</v>
      </c>
      <c r="K94" s="23" t="s">
        <v>119</v>
      </c>
      <c r="L94" s="39" t="s">
        <v>64</v>
      </c>
    </row>
    <row r="95" customFormat="false" ht="40.5" hidden="false" customHeight="true" outlineLevel="0" collapsed="false">
      <c r="A95" s="22" t="s">
        <v>1046</v>
      </c>
      <c r="B95" s="45" t="s">
        <v>305</v>
      </c>
      <c r="C95" s="23" t="s">
        <v>310</v>
      </c>
      <c r="D95" s="24" t="s">
        <v>1047</v>
      </c>
      <c r="E95" s="25" t="s">
        <v>1048</v>
      </c>
      <c r="F95" s="25" t="s">
        <v>1043</v>
      </c>
      <c r="G95" s="25" t="s">
        <v>1049</v>
      </c>
      <c r="H95" s="25" t="s">
        <v>1050</v>
      </c>
      <c r="I95" s="27" t="s">
        <v>1051</v>
      </c>
      <c r="J95" s="27" t="s">
        <v>309</v>
      </c>
      <c r="K95" s="23" t="s">
        <v>120</v>
      </c>
      <c r="L95" s="39" t="s">
        <v>64</v>
      </c>
    </row>
    <row r="96" customFormat="false" ht="36" hidden="false" customHeight="true" outlineLevel="0" collapsed="false">
      <c r="A96" s="22" t="s">
        <v>1052</v>
      </c>
      <c r="B96" s="45" t="s">
        <v>305</v>
      </c>
      <c r="C96" s="23" t="s">
        <v>315</v>
      </c>
      <c r="D96" s="24" t="s">
        <v>1053</v>
      </c>
      <c r="E96" s="25" t="s">
        <v>1054</v>
      </c>
      <c r="F96" s="25" t="s">
        <v>1055</v>
      </c>
      <c r="G96" s="25" t="s">
        <v>1056</v>
      </c>
      <c r="H96" s="25" t="s">
        <v>1057</v>
      </c>
      <c r="I96" s="27" t="s">
        <v>1021</v>
      </c>
      <c r="J96" s="27" t="s">
        <v>314</v>
      </c>
      <c r="K96" s="23" t="s">
        <v>119</v>
      </c>
      <c r="L96" s="39" t="s">
        <v>64</v>
      </c>
    </row>
    <row r="97" customFormat="false" ht="36" hidden="false" customHeight="true" outlineLevel="0" collapsed="false">
      <c r="A97" s="22" t="s">
        <v>1058</v>
      </c>
      <c r="B97" s="45" t="s">
        <v>305</v>
      </c>
      <c r="C97" s="23" t="s">
        <v>315</v>
      </c>
      <c r="D97" s="24" t="s">
        <v>1059</v>
      </c>
      <c r="E97" s="25" t="s">
        <v>1060</v>
      </c>
      <c r="F97" s="25" t="s">
        <v>1055</v>
      </c>
      <c r="G97" s="25" t="s">
        <v>1061</v>
      </c>
      <c r="H97" s="25" t="s">
        <v>1057</v>
      </c>
      <c r="I97" s="27" t="s">
        <v>1021</v>
      </c>
      <c r="J97" s="27" t="s">
        <v>314</v>
      </c>
      <c r="K97" s="23" t="s">
        <v>119</v>
      </c>
      <c r="L97" s="39" t="s">
        <v>64</v>
      </c>
    </row>
    <row r="98" customFormat="false" ht="36" hidden="false" customHeight="true" outlineLevel="0" collapsed="false">
      <c r="A98" s="22" t="s">
        <v>1062</v>
      </c>
      <c r="B98" s="45" t="s">
        <v>305</v>
      </c>
      <c r="C98" s="23" t="s">
        <v>315</v>
      </c>
      <c r="D98" s="24" t="s">
        <v>1063</v>
      </c>
      <c r="E98" s="29" t="s">
        <v>1064</v>
      </c>
      <c r="F98" s="25" t="s">
        <v>1065</v>
      </c>
      <c r="G98" s="25" t="s">
        <v>1066</v>
      </c>
      <c r="H98" s="25" t="s">
        <v>1067</v>
      </c>
      <c r="I98" s="27" t="s">
        <v>1021</v>
      </c>
      <c r="J98" s="27" t="s">
        <v>314</v>
      </c>
      <c r="K98" s="23" t="s">
        <v>119</v>
      </c>
      <c r="L98" s="39" t="s">
        <v>64</v>
      </c>
    </row>
    <row r="99" customFormat="false" ht="36" hidden="false" customHeight="true" outlineLevel="0" collapsed="false">
      <c r="A99" s="22" t="s">
        <v>1068</v>
      </c>
      <c r="B99" s="45" t="s">
        <v>305</v>
      </c>
      <c r="C99" s="23" t="s">
        <v>320</v>
      </c>
      <c r="D99" s="24" t="s">
        <v>1069</v>
      </c>
      <c r="E99" s="25" t="s">
        <v>1070</v>
      </c>
      <c r="F99" s="25" t="s">
        <v>1001</v>
      </c>
      <c r="G99" s="25" t="s">
        <v>1071</v>
      </c>
      <c r="H99" s="25" t="s">
        <v>1072</v>
      </c>
      <c r="I99" s="27" t="s">
        <v>1051</v>
      </c>
      <c r="J99" s="27" t="s">
        <v>319</v>
      </c>
      <c r="K99" s="23" t="s">
        <v>119</v>
      </c>
      <c r="L99" s="39" t="s">
        <v>64</v>
      </c>
    </row>
    <row r="100" customFormat="false" ht="36" hidden="false" customHeight="true" outlineLevel="0" collapsed="false">
      <c r="A100" s="22" t="s">
        <v>1073</v>
      </c>
      <c r="B100" s="45" t="s">
        <v>305</v>
      </c>
      <c r="C100" s="23" t="s">
        <v>320</v>
      </c>
      <c r="D100" s="24" t="s">
        <v>1074</v>
      </c>
      <c r="E100" s="25" t="s">
        <v>1075</v>
      </c>
      <c r="F100" s="25" t="s">
        <v>973</v>
      </c>
      <c r="G100" s="25" t="s">
        <v>1076</v>
      </c>
      <c r="H100" s="25" t="s">
        <v>1077</v>
      </c>
      <c r="I100" s="27" t="s">
        <v>1051</v>
      </c>
      <c r="J100" s="27" t="s">
        <v>319</v>
      </c>
      <c r="K100" s="23" t="s">
        <v>119</v>
      </c>
      <c r="L100" s="39" t="s">
        <v>64</v>
      </c>
    </row>
    <row r="101" customFormat="false" ht="36" hidden="false" customHeight="true" outlineLevel="0" collapsed="false">
      <c r="A101" s="22" t="s">
        <v>1078</v>
      </c>
      <c r="B101" s="45" t="s">
        <v>305</v>
      </c>
      <c r="C101" s="23" t="s">
        <v>320</v>
      </c>
      <c r="D101" s="24" t="s">
        <v>1079</v>
      </c>
      <c r="E101" s="25" t="s">
        <v>1080</v>
      </c>
      <c r="F101" s="25" t="s">
        <v>1081</v>
      </c>
      <c r="G101" s="25" t="s">
        <v>1082</v>
      </c>
      <c r="H101" s="25" t="s">
        <v>1083</v>
      </c>
      <c r="I101" s="27" t="s">
        <v>1051</v>
      </c>
      <c r="J101" s="27" t="s">
        <v>319</v>
      </c>
      <c r="K101" s="23" t="s">
        <v>119</v>
      </c>
      <c r="L101" s="39" t="s">
        <v>64</v>
      </c>
    </row>
    <row r="102" customFormat="false" ht="36" hidden="false" customHeight="true" outlineLevel="0" collapsed="false">
      <c r="A102" s="22" t="s">
        <v>1084</v>
      </c>
      <c r="B102" s="45" t="s">
        <v>305</v>
      </c>
      <c r="C102" s="23" t="s">
        <v>320</v>
      </c>
      <c r="D102" s="24" t="s">
        <v>1085</v>
      </c>
      <c r="E102" s="25" t="s">
        <v>1086</v>
      </c>
      <c r="F102" s="25" t="s">
        <v>1087</v>
      </c>
      <c r="G102" s="25" t="s">
        <v>1088</v>
      </c>
      <c r="H102" s="25" t="s">
        <v>1089</v>
      </c>
      <c r="I102" s="27" t="s">
        <v>1051</v>
      </c>
      <c r="J102" s="27" t="s">
        <v>319</v>
      </c>
      <c r="K102" s="23" t="s">
        <v>120</v>
      </c>
      <c r="L102" s="39" t="s">
        <v>64</v>
      </c>
    </row>
    <row r="103" customFormat="false" ht="36" hidden="false" customHeight="true" outlineLevel="0" collapsed="false">
      <c r="A103" s="22" t="s">
        <v>1090</v>
      </c>
      <c r="B103" s="45" t="s">
        <v>305</v>
      </c>
      <c r="C103" s="23" t="s">
        <v>325</v>
      </c>
      <c r="D103" s="24" t="s">
        <v>1091</v>
      </c>
      <c r="E103" s="25" t="s">
        <v>1092</v>
      </c>
      <c r="F103" s="25" t="s">
        <v>1093</v>
      </c>
      <c r="G103" s="25" t="s">
        <v>1094</v>
      </c>
      <c r="H103" s="25" t="s">
        <v>1095</v>
      </c>
      <c r="I103" s="27" t="s">
        <v>1096</v>
      </c>
      <c r="J103" s="27" t="s">
        <v>324</v>
      </c>
      <c r="K103" s="23" t="s">
        <v>127</v>
      </c>
      <c r="L103" s="40" t="s">
        <v>67</v>
      </c>
    </row>
    <row r="104" customFormat="false" ht="36" hidden="false" customHeight="true" outlineLevel="0" collapsed="false">
      <c r="A104" s="22" t="s">
        <v>1097</v>
      </c>
      <c r="B104" s="45" t="s">
        <v>305</v>
      </c>
      <c r="C104" s="23" t="s">
        <v>325</v>
      </c>
      <c r="D104" s="24" t="s">
        <v>1098</v>
      </c>
      <c r="E104" s="25" t="s">
        <v>1099</v>
      </c>
      <c r="F104" s="25" t="s">
        <v>1100</v>
      </c>
      <c r="G104" s="25" t="s">
        <v>1101</v>
      </c>
      <c r="H104" s="25" t="s">
        <v>1095</v>
      </c>
      <c r="I104" s="27" t="s">
        <v>1096</v>
      </c>
      <c r="J104" s="27" t="s">
        <v>324</v>
      </c>
      <c r="K104" s="23" t="s">
        <v>127</v>
      </c>
      <c r="L104" s="40" t="s">
        <v>67</v>
      </c>
    </row>
    <row r="105" customFormat="false" ht="36" hidden="false" customHeight="true" outlineLevel="0" collapsed="false">
      <c r="A105" s="22" t="s">
        <v>1102</v>
      </c>
      <c r="B105" s="45" t="s">
        <v>305</v>
      </c>
      <c r="C105" s="27" t="s">
        <v>330</v>
      </c>
      <c r="D105" s="28" t="s">
        <v>1103</v>
      </c>
      <c r="E105" s="25" t="s">
        <v>1104</v>
      </c>
      <c r="F105" s="25" t="s">
        <v>1105</v>
      </c>
      <c r="G105" s="25" t="s">
        <v>1106</v>
      </c>
      <c r="H105" s="29" t="s">
        <v>1107</v>
      </c>
      <c r="I105" s="27" t="s">
        <v>593</v>
      </c>
      <c r="J105" s="27" t="s">
        <v>329</v>
      </c>
      <c r="K105" s="23" t="s">
        <v>119</v>
      </c>
      <c r="L105" s="39" t="s">
        <v>64</v>
      </c>
    </row>
    <row r="106" customFormat="false" ht="36" hidden="false" customHeight="true" outlineLevel="0" collapsed="false">
      <c r="A106" s="22" t="s">
        <v>1108</v>
      </c>
      <c r="B106" s="45" t="s">
        <v>305</v>
      </c>
      <c r="C106" s="27" t="s">
        <v>330</v>
      </c>
      <c r="D106" s="28" t="s">
        <v>1109</v>
      </c>
      <c r="E106" s="29" t="s">
        <v>1110</v>
      </c>
      <c r="F106" s="29" t="s">
        <v>1111</v>
      </c>
      <c r="G106" s="25" t="s">
        <v>1112</v>
      </c>
      <c r="H106" s="25" t="s">
        <v>1113</v>
      </c>
      <c r="I106" s="27" t="s">
        <v>783</v>
      </c>
      <c r="J106" s="27" t="s">
        <v>329</v>
      </c>
      <c r="K106" s="23" t="s">
        <v>120</v>
      </c>
      <c r="L106" s="39" t="s">
        <v>64</v>
      </c>
    </row>
    <row r="107" customFormat="false" ht="36" hidden="false" customHeight="true" outlineLevel="0" collapsed="false">
      <c r="A107" s="22" t="s">
        <v>1114</v>
      </c>
      <c r="B107" s="45" t="s">
        <v>305</v>
      </c>
      <c r="C107" s="27" t="s">
        <v>330</v>
      </c>
      <c r="D107" s="28" t="s">
        <v>1115</v>
      </c>
      <c r="E107" s="25" t="s">
        <v>1116</v>
      </c>
      <c r="F107" s="25" t="s">
        <v>1117</v>
      </c>
      <c r="G107" s="29" t="s">
        <v>1118</v>
      </c>
      <c r="H107" s="29" t="s">
        <v>1119</v>
      </c>
      <c r="I107" s="27" t="s">
        <v>1120</v>
      </c>
      <c r="J107" s="27" t="s">
        <v>329</v>
      </c>
      <c r="K107" s="23" t="s">
        <v>120</v>
      </c>
      <c r="L107" s="39" t="s">
        <v>64</v>
      </c>
    </row>
    <row r="108" customFormat="false" ht="36" hidden="false" customHeight="true" outlineLevel="0" collapsed="false">
      <c r="A108" s="22" t="s">
        <v>1121</v>
      </c>
      <c r="B108" s="45" t="s">
        <v>305</v>
      </c>
      <c r="C108" s="23" t="s">
        <v>168</v>
      </c>
      <c r="D108" s="24" t="s">
        <v>1122</v>
      </c>
      <c r="E108" s="25" t="s">
        <v>1123</v>
      </c>
      <c r="F108" s="25" t="s">
        <v>1124</v>
      </c>
      <c r="G108" s="29" t="s">
        <v>1125</v>
      </c>
      <c r="H108" s="25" t="s">
        <v>634</v>
      </c>
      <c r="I108" s="27" t="s">
        <v>1126</v>
      </c>
      <c r="J108" s="27" t="s">
        <v>334</v>
      </c>
      <c r="K108" s="23" t="s">
        <v>119</v>
      </c>
      <c r="L108" s="39" t="s">
        <v>64</v>
      </c>
    </row>
    <row r="109" customFormat="false" ht="36" hidden="false" customHeight="true" outlineLevel="0" collapsed="false">
      <c r="A109" s="22" t="s">
        <v>1127</v>
      </c>
      <c r="B109" s="45" t="s">
        <v>305</v>
      </c>
      <c r="C109" s="23" t="s">
        <v>168</v>
      </c>
      <c r="D109" s="24" t="s">
        <v>1128</v>
      </c>
      <c r="E109" s="25" t="s">
        <v>1129</v>
      </c>
      <c r="F109" s="25" t="s">
        <v>1130</v>
      </c>
      <c r="G109" s="25" t="s">
        <v>1131</v>
      </c>
      <c r="H109" s="25" t="s">
        <v>681</v>
      </c>
      <c r="I109" s="27" t="s">
        <v>1126</v>
      </c>
      <c r="J109" s="27" t="s">
        <v>334</v>
      </c>
      <c r="K109" s="23" t="s">
        <v>120</v>
      </c>
      <c r="L109" s="39" t="s">
        <v>64</v>
      </c>
    </row>
    <row r="110" customFormat="false" ht="36" hidden="false" customHeight="true" outlineLevel="0" collapsed="false">
      <c r="A110" s="22" t="s">
        <v>342</v>
      </c>
      <c r="B110" s="45" t="s">
        <v>305</v>
      </c>
      <c r="C110" s="23" t="s">
        <v>339</v>
      </c>
      <c r="D110" s="24" t="s">
        <v>1132</v>
      </c>
      <c r="E110" s="25" t="s">
        <v>1133</v>
      </c>
      <c r="F110" s="25" t="s">
        <v>1134</v>
      </c>
      <c r="G110" s="25" t="s">
        <v>1135</v>
      </c>
      <c r="H110" s="25" t="s">
        <v>1136</v>
      </c>
      <c r="I110" s="27" t="s">
        <v>1137</v>
      </c>
      <c r="J110" s="27" t="s">
        <v>338</v>
      </c>
      <c r="K110" s="23" t="s">
        <v>127</v>
      </c>
      <c r="L110" s="40" t="s">
        <v>67</v>
      </c>
    </row>
    <row r="111" customFormat="false" ht="36" hidden="false" customHeight="true" outlineLevel="0" collapsed="false">
      <c r="A111" s="22" t="s">
        <v>347</v>
      </c>
      <c r="B111" s="45" t="s">
        <v>305</v>
      </c>
      <c r="C111" s="23" t="s">
        <v>344</v>
      </c>
      <c r="D111" s="24" t="s">
        <v>345</v>
      </c>
      <c r="E111" s="25" t="s">
        <v>1138</v>
      </c>
      <c r="F111" s="25" t="s">
        <v>1139</v>
      </c>
      <c r="G111" s="25" t="s">
        <v>1140</v>
      </c>
      <c r="H111" s="25" t="s">
        <v>1141</v>
      </c>
      <c r="I111" s="27" t="s">
        <v>1051</v>
      </c>
      <c r="J111" s="27" t="s">
        <v>343</v>
      </c>
      <c r="K111" s="23" t="s">
        <v>127</v>
      </c>
      <c r="L111" s="40" t="s">
        <v>67</v>
      </c>
    </row>
    <row r="112" customFormat="false" ht="36" hidden="false" customHeight="true" outlineLevel="0" collapsed="false">
      <c r="A112" s="22" t="s">
        <v>1142</v>
      </c>
      <c r="B112" s="46" t="s">
        <v>349</v>
      </c>
      <c r="C112" s="23" t="s">
        <v>350</v>
      </c>
      <c r="D112" s="24" t="s">
        <v>1143</v>
      </c>
      <c r="E112" s="25" t="s">
        <v>1144</v>
      </c>
      <c r="F112" s="25" t="s">
        <v>1145</v>
      </c>
      <c r="G112" s="25" t="s">
        <v>1146</v>
      </c>
      <c r="H112" s="25" t="s">
        <v>1147</v>
      </c>
      <c r="I112" s="27" t="s">
        <v>1148</v>
      </c>
      <c r="J112" s="27" t="s">
        <v>348</v>
      </c>
      <c r="K112" s="23" t="s">
        <v>119</v>
      </c>
      <c r="L112" s="39" t="s">
        <v>64</v>
      </c>
    </row>
    <row r="113" customFormat="false" ht="36" hidden="false" customHeight="true" outlineLevel="0" collapsed="false">
      <c r="A113" s="22" t="s">
        <v>1149</v>
      </c>
      <c r="B113" s="46" t="s">
        <v>349</v>
      </c>
      <c r="C113" s="23" t="s">
        <v>350</v>
      </c>
      <c r="D113" s="28" t="s">
        <v>1150</v>
      </c>
      <c r="E113" s="25" t="s">
        <v>1151</v>
      </c>
      <c r="F113" s="25" t="s">
        <v>1152</v>
      </c>
      <c r="G113" s="25" t="s">
        <v>1153</v>
      </c>
      <c r="H113" s="29" t="s">
        <v>1154</v>
      </c>
      <c r="I113" s="27" t="s">
        <v>1148</v>
      </c>
      <c r="J113" s="27" t="s">
        <v>348</v>
      </c>
      <c r="K113" s="23" t="s">
        <v>120</v>
      </c>
      <c r="L113" s="39" t="s">
        <v>64</v>
      </c>
    </row>
    <row r="114" customFormat="false" ht="36" hidden="false" customHeight="true" outlineLevel="0" collapsed="false">
      <c r="A114" s="22" t="s">
        <v>1155</v>
      </c>
      <c r="B114" s="46" t="s">
        <v>349</v>
      </c>
      <c r="C114" s="23" t="s">
        <v>350</v>
      </c>
      <c r="D114" s="24" t="s">
        <v>1156</v>
      </c>
      <c r="E114" s="25" t="s">
        <v>1157</v>
      </c>
      <c r="F114" s="25" t="s">
        <v>1158</v>
      </c>
      <c r="G114" s="25" t="s">
        <v>1159</v>
      </c>
      <c r="H114" s="25" t="s">
        <v>1160</v>
      </c>
      <c r="I114" s="27" t="s">
        <v>1161</v>
      </c>
      <c r="J114" s="27" t="s">
        <v>348</v>
      </c>
      <c r="K114" s="23" t="s">
        <v>119</v>
      </c>
      <c r="L114" s="39" t="s">
        <v>64</v>
      </c>
    </row>
    <row r="115" customFormat="false" ht="36" hidden="false" customHeight="true" outlineLevel="0" collapsed="false">
      <c r="A115" s="22" t="s">
        <v>358</v>
      </c>
      <c r="B115" s="46" t="s">
        <v>349</v>
      </c>
      <c r="C115" s="23" t="s">
        <v>355</v>
      </c>
      <c r="D115" s="24" t="s">
        <v>356</v>
      </c>
      <c r="E115" s="25" t="s">
        <v>1162</v>
      </c>
      <c r="F115" s="25" t="s">
        <v>1163</v>
      </c>
      <c r="G115" s="25" t="s">
        <v>1164</v>
      </c>
      <c r="H115" s="25" t="s">
        <v>1165</v>
      </c>
      <c r="I115" s="27" t="s">
        <v>1166</v>
      </c>
      <c r="J115" s="27" t="s">
        <v>354</v>
      </c>
      <c r="K115" s="23" t="s">
        <v>127</v>
      </c>
      <c r="L115" s="40" t="s">
        <v>67</v>
      </c>
    </row>
    <row r="116" customFormat="false" ht="36" hidden="false" customHeight="true" outlineLevel="0" collapsed="false">
      <c r="A116" s="22" t="s">
        <v>1167</v>
      </c>
      <c r="B116" s="46" t="s">
        <v>349</v>
      </c>
      <c r="C116" s="23" t="s">
        <v>360</v>
      </c>
      <c r="D116" s="24" t="s">
        <v>1168</v>
      </c>
      <c r="E116" s="25" t="s">
        <v>1169</v>
      </c>
      <c r="F116" s="25" t="s">
        <v>1170</v>
      </c>
      <c r="G116" s="25" t="s">
        <v>1171</v>
      </c>
      <c r="H116" s="25" t="s">
        <v>1172</v>
      </c>
      <c r="I116" s="27" t="s">
        <v>1173</v>
      </c>
      <c r="J116" s="27" t="s">
        <v>359</v>
      </c>
      <c r="K116" s="23" t="s">
        <v>120</v>
      </c>
      <c r="L116" s="40" t="s">
        <v>67</v>
      </c>
    </row>
    <row r="117" customFormat="false" ht="36" hidden="false" customHeight="true" outlineLevel="0" collapsed="false">
      <c r="A117" s="22" t="s">
        <v>1174</v>
      </c>
      <c r="B117" s="46" t="s">
        <v>349</v>
      </c>
      <c r="C117" s="23" t="s">
        <v>360</v>
      </c>
      <c r="D117" s="24" t="s">
        <v>1175</v>
      </c>
      <c r="E117" s="25" t="s">
        <v>1176</v>
      </c>
      <c r="F117" s="25" t="s">
        <v>1177</v>
      </c>
      <c r="G117" s="25" t="s">
        <v>1178</v>
      </c>
      <c r="H117" s="25" t="s">
        <v>1179</v>
      </c>
      <c r="I117" s="27" t="s">
        <v>1180</v>
      </c>
      <c r="J117" s="27" t="s">
        <v>359</v>
      </c>
      <c r="K117" s="23" t="s">
        <v>120</v>
      </c>
      <c r="L117" s="40" t="s">
        <v>67</v>
      </c>
    </row>
    <row r="118" customFormat="false" ht="36" hidden="false" customHeight="true" outlineLevel="0" collapsed="false">
      <c r="A118" s="22" t="s">
        <v>1181</v>
      </c>
      <c r="B118" s="46" t="s">
        <v>349</v>
      </c>
      <c r="C118" s="23" t="s">
        <v>360</v>
      </c>
      <c r="D118" s="24" t="s">
        <v>1182</v>
      </c>
      <c r="E118" s="25" t="s">
        <v>1183</v>
      </c>
      <c r="F118" s="25" t="s">
        <v>1184</v>
      </c>
      <c r="G118" s="25" t="s">
        <v>1185</v>
      </c>
      <c r="H118" s="25" t="s">
        <v>628</v>
      </c>
      <c r="I118" s="27" t="s">
        <v>1173</v>
      </c>
      <c r="J118" s="27" t="s">
        <v>359</v>
      </c>
      <c r="K118" s="23" t="s">
        <v>120</v>
      </c>
      <c r="L118" s="40" t="s">
        <v>67</v>
      </c>
    </row>
    <row r="119" customFormat="false" ht="36" hidden="false" customHeight="true" outlineLevel="0" collapsed="false">
      <c r="A119" s="22" t="s">
        <v>367</v>
      </c>
      <c r="B119" s="46" t="s">
        <v>349</v>
      </c>
      <c r="C119" s="23" t="s">
        <v>315</v>
      </c>
      <c r="D119" s="24" t="s">
        <v>1186</v>
      </c>
      <c r="E119" s="25" t="s">
        <v>1187</v>
      </c>
      <c r="F119" s="25" t="s">
        <v>1081</v>
      </c>
      <c r="G119" s="25" t="s">
        <v>1188</v>
      </c>
      <c r="H119" s="25" t="s">
        <v>1189</v>
      </c>
      <c r="I119" s="27" t="s">
        <v>1161</v>
      </c>
      <c r="J119" s="27" t="s">
        <v>364</v>
      </c>
      <c r="K119" s="23" t="s">
        <v>120</v>
      </c>
      <c r="L119" s="39" t="s">
        <v>64</v>
      </c>
    </row>
    <row r="120" customFormat="false" ht="36" hidden="false" customHeight="true" outlineLevel="0" collapsed="false">
      <c r="A120" s="22" t="s">
        <v>372</v>
      </c>
      <c r="B120" s="46" t="s">
        <v>349</v>
      </c>
      <c r="C120" s="23" t="s">
        <v>369</v>
      </c>
      <c r="D120" s="24" t="s">
        <v>1190</v>
      </c>
      <c r="E120" s="25" t="s">
        <v>1191</v>
      </c>
      <c r="F120" s="25" t="s">
        <v>1081</v>
      </c>
      <c r="G120" s="25" t="s">
        <v>1192</v>
      </c>
      <c r="H120" s="25" t="s">
        <v>1193</v>
      </c>
      <c r="I120" s="27" t="s">
        <v>1161</v>
      </c>
      <c r="J120" s="27" t="s">
        <v>368</v>
      </c>
      <c r="K120" s="23" t="s">
        <v>127</v>
      </c>
      <c r="L120" s="40" t="s">
        <v>67</v>
      </c>
    </row>
    <row r="121" customFormat="false" ht="36" hidden="false" customHeight="true" outlineLevel="0" collapsed="false">
      <c r="A121" s="22" t="s">
        <v>377</v>
      </c>
      <c r="B121" s="46" t="s">
        <v>349</v>
      </c>
      <c r="C121" s="23" t="s">
        <v>374</v>
      </c>
      <c r="D121" s="24" t="s">
        <v>1194</v>
      </c>
      <c r="E121" s="25" t="s">
        <v>1195</v>
      </c>
      <c r="F121" s="25" t="s">
        <v>1196</v>
      </c>
      <c r="G121" s="25" t="s">
        <v>1197</v>
      </c>
      <c r="H121" s="25" t="s">
        <v>1198</v>
      </c>
      <c r="I121" s="27" t="s">
        <v>1199</v>
      </c>
      <c r="J121" s="27" t="s">
        <v>373</v>
      </c>
      <c r="K121" s="23" t="s">
        <v>127</v>
      </c>
      <c r="L121" s="40" t="s">
        <v>67</v>
      </c>
    </row>
    <row r="122" customFormat="false" ht="36" hidden="false" customHeight="true" outlineLevel="0" collapsed="false">
      <c r="A122" s="22" t="s">
        <v>1200</v>
      </c>
      <c r="B122" s="47" t="s">
        <v>379</v>
      </c>
      <c r="C122" s="23" t="s">
        <v>380</v>
      </c>
      <c r="D122" s="24" t="s">
        <v>1201</v>
      </c>
      <c r="E122" s="25" t="s">
        <v>1202</v>
      </c>
      <c r="F122" s="25" t="s">
        <v>1203</v>
      </c>
      <c r="G122" s="25" t="s">
        <v>1204</v>
      </c>
      <c r="H122" s="25" t="s">
        <v>1205</v>
      </c>
      <c r="I122" s="27" t="s">
        <v>1206</v>
      </c>
      <c r="J122" s="27" t="s">
        <v>378</v>
      </c>
      <c r="K122" s="23" t="s">
        <v>120</v>
      </c>
      <c r="L122" s="40" t="s">
        <v>67</v>
      </c>
    </row>
    <row r="123" customFormat="false" ht="36" hidden="false" customHeight="true" outlineLevel="0" collapsed="false">
      <c r="A123" s="22" t="s">
        <v>1207</v>
      </c>
      <c r="B123" s="47" t="s">
        <v>379</v>
      </c>
      <c r="C123" s="23" t="s">
        <v>380</v>
      </c>
      <c r="D123" s="24" t="s">
        <v>1208</v>
      </c>
      <c r="E123" s="25" t="s">
        <v>1209</v>
      </c>
      <c r="F123" s="25" t="s">
        <v>1210</v>
      </c>
      <c r="G123" s="25" t="s">
        <v>1211</v>
      </c>
      <c r="H123" s="25" t="s">
        <v>1212</v>
      </c>
      <c r="I123" s="27" t="s">
        <v>1213</v>
      </c>
      <c r="J123" s="27" t="s">
        <v>378</v>
      </c>
      <c r="K123" s="23" t="s">
        <v>120</v>
      </c>
      <c r="L123" s="40" t="s">
        <v>67</v>
      </c>
    </row>
    <row r="124" customFormat="false" ht="36" hidden="false" customHeight="true" outlineLevel="0" collapsed="false">
      <c r="A124" s="22" t="s">
        <v>1214</v>
      </c>
      <c r="B124" s="47" t="s">
        <v>379</v>
      </c>
      <c r="C124" s="23" t="s">
        <v>380</v>
      </c>
      <c r="D124" s="24" t="s">
        <v>1215</v>
      </c>
      <c r="E124" s="25" t="s">
        <v>1216</v>
      </c>
      <c r="F124" s="25" t="s">
        <v>1217</v>
      </c>
      <c r="G124" s="25" t="s">
        <v>1218</v>
      </c>
      <c r="H124" s="25" t="s">
        <v>1219</v>
      </c>
      <c r="I124" s="27" t="s">
        <v>1206</v>
      </c>
      <c r="J124" s="27" t="s">
        <v>378</v>
      </c>
      <c r="K124" s="23" t="s">
        <v>120</v>
      </c>
      <c r="L124" s="40" t="s">
        <v>67</v>
      </c>
    </row>
    <row r="125" customFormat="false" ht="36" hidden="false" customHeight="true" outlineLevel="0" collapsed="false">
      <c r="A125" s="22" t="s">
        <v>1220</v>
      </c>
      <c r="B125" s="47" t="s">
        <v>379</v>
      </c>
      <c r="C125" s="23" t="s">
        <v>385</v>
      </c>
      <c r="D125" s="24" t="s">
        <v>1221</v>
      </c>
      <c r="E125" s="25" t="s">
        <v>1222</v>
      </c>
      <c r="F125" s="25" t="s">
        <v>632</v>
      </c>
      <c r="G125" s="25" t="s">
        <v>1223</v>
      </c>
      <c r="H125" s="25" t="s">
        <v>1224</v>
      </c>
      <c r="I125" s="27" t="s">
        <v>1225</v>
      </c>
      <c r="J125" s="27" t="s">
        <v>384</v>
      </c>
      <c r="K125" s="23" t="s">
        <v>120</v>
      </c>
      <c r="L125" s="40" t="s">
        <v>67</v>
      </c>
    </row>
    <row r="126" customFormat="false" ht="36" hidden="false" customHeight="true" outlineLevel="0" collapsed="false">
      <c r="A126" s="22" t="s">
        <v>1226</v>
      </c>
      <c r="B126" s="47" t="s">
        <v>379</v>
      </c>
      <c r="C126" s="23" t="s">
        <v>385</v>
      </c>
      <c r="D126" s="24" t="s">
        <v>1227</v>
      </c>
      <c r="E126" s="25" t="s">
        <v>1228</v>
      </c>
      <c r="F126" s="25" t="s">
        <v>1229</v>
      </c>
      <c r="G126" s="25" t="s">
        <v>1230</v>
      </c>
      <c r="H126" s="25" t="s">
        <v>1231</v>
      </c>
      <c r="I126" s="27" t="s">
        <v>593</v>
      </c>
      <c r="J126" s="27" t="s">
        <v>384</v>
      </c>
      <c r="K126" s="23" t="s">
        <v>120</v>
      </c>
      <c r="L126" s="40" t="s">
        <v>67</v>
      </c>
    </row>
    <row r="127" customFormat="false" ht="36" hidden="false" customHeight="true" outlineLevel="0" collapsed="false">
      <c r="A127" s="22" t="s">
        <v>1232</v>
      </c>
      <c r="B127" s="47" t="s">
        <v>379</v>
      </c>
      <c r="C127" s="23" t="s">
        <v>385</v>
      </c>
      <c r="D127" s="24" t="s">
        <v>1233</v>
      </c>
      <c r="E127" s="25" t="s">
        <v>1234</v>
      </c>
      <c r="F127" s="25" t="s">
        <v>1235</v>
      </c>
      <c r="G127" s="25" t="s">
        <v>1236</v>
      </c>
      <c r="H127" s="25" t="s">
        <v>1237</v>
      </c>
      <c r="I127" s="27" t="s">
        <v>1238</v>
      </c>
      <c r="J127" s="27" t="s">
        <v>389</v>
      </c>
      <c r="K127" s="23" t="s">
        <v>120</v>
      </c>
      <c r="L127" s="40" t="s">
        <v>67</v>
      </c>
    </row>
    <row r="128" customFormat="false" ht="36" hidden="false" customHeight="true" outlineLevel="0" collapsed="false">
      <c r="A128" s="22" t="s">
        <v>1239</v>
      </c>
      <c r="B128" s="47" t="s">
        <v>379</v>
      </c>
      <c r="C128" s="23" t="s">
        <v>385</v>
      </c>
      <c r="D128" s="24" t="s">
        <v>1240</v>
      </c>
      <c r="E128" s="25" t="s">
        <v>1241</v>
      </c>
      <c r="F128" s="25" t="s">
        <v>1242</v>
      </c>
      <c r="G128" s="25" t="s">
        <v>1243</v>
      </c>
      <c r="H128" s="25" t="s">
        <v>1244</v>
      </c>
      <c r="I128" s="27" t="s">
        <v>1238</v>
      </c>
      <c r="J128" s="27" t="s">
        <v>389</v>
      </c>
      <c r="K128" s="23" t="s">
        <v>127</v>
      </c>
      <c r="L128" s="40" t="s">
        <v>67</v>
      </c>
    </row>
    <row r="129" customFormat="false" ht="36" hidden="false" customHeight="true" outlineLevel="0" collapsed="false">
      <c r="A129" s="22" t="s">
        <v>1245</v>
      </c>
      <c r="B129" s="47" t="s">
        <v>379</v>
      </c>
      <c r="C129" s="23" t="s">
        <v>394</v>
      </c>
      <c r="D129" s="24" t="s">
        <v>1246</v>
      </c>
      <c r="E129" s="25" t="s">
        <v>1247</v>
      </c>
      <c r="F129" s="25" t="s">
        <v>1248</v>
      </c>
      <c r="G129" s="25" t="s">
        <v>1249</v>
      </c>
      <c r="H129" s="25" t="s">
        <v>1250</v>
      </c>
      <c r="I129" s="27" t="s">
        <v>1213</v>
      </c>
      <c r="J129" s="27" t="s">
        <v>393</v>
      </c>
      <c r="K129" s="23" t="s">
        <v>120</v>
      </c>
      <c r="L129" s="40" t="s">
        <v>67</v>
      </c>
    </row>
    <row r="130" customFormat="false" ht="36" hidden="false" customHeight="true" outlineLevel="0" collapsed="false">
      <c r="A130" s="22" t="s">
        <v>1251</v>
      </c>
      <c r="B130" s="47" t="s">
        <v>379</v>
      </c>
      <c r="C130" s="23" t="s">
        <v>394</v>
      </c>
      <c r="D130" s="24" t="s">
        <v>1252</v>
      </c>
      <c r="E130" s="25" t="s">
        <v>1253</v>
      </c>
      <c r="F130" s="25" t="s">
        <v>1254</v>
      </c>
      <c r="G130" s="25" t="s">
        <v>1255</v>
      </c>
      <c r="H130" s="25" t="s">
        <v>1256</v>
      </c>
      <c r="I130" s="27" t="s">
        <v>1213</v>
      </c>
      <c r="J130" s="27" t="s">
        <v>393</v>
      </c>
      <c r="K130" s="23" t="s">
        <v>120</v>
      </c>
      <c r="L130" s="40" t="s">
        <v>67</v>
      </c>
    </row>
    <row r="131" customFormat="false" ht="36" hidden="false" customHeight="true" outlineLevel="0" collapsed="false">
      <c r="A131" s="22" t="s">
        <v>401</v>
      </c>
      <c r="B131" s="47" t="s">
        <v>379</v>
      </c>
      <c r="C131" s="23" t="s">
        <v>374</v>
      </c>
      <c r="D131" s="24" t="s">
        <v>1257</v>
      </c>
      <c r="E131" s="25" t="s">
        <v>1258</v>
      </c>
      <c r="F131" s="25" t="s">
        <v>1259</v>
      </c>
      <c r="G131" s="25" t="s">
        <v>1260</v>
      </c>
      <c r="H131" s="25" t="s">
        <v>1261</v>
      </c>
      <c r="I131" s="27" t="s">
        <v>1262</v>
      </c>
      <c r="J131" s="27" t="s">
        <v>398</v>
      </c>
      <c r="K131" s="23" t="s">
        <v>127</v>
      </c>
      <c r="L131" s="40" t="s">
        <v>67</v>
      </c>
    </row>
    <row r="132" customFormat="false" ht="36" hidden="false" customHeight="true" outlineLevel="0" collapsed="false">
      <c r="A132" s="22" t="s">
        <v>405</v>
      </c>
      <c r="B132" s="47" t="s">
        <v>379</v>
      </c>
      <c r="C132" s="23" t="s">
        <v>173</v>
      </c>
      <c r="D132" s="24" t="s">
        <v>1263</v>
      </c>
      <c r="E132" s="25" t="s">
        <v>1264</v>
      </c>
      <c r="F132" s="29" t="s">
        <v>593</v>
      </c>
      <c r="G132" s="25" t="s">
        <v>1265</v>
      </c>
      <c r="H132" s="25" t="s">
        <v>1266</v>
      </c>
      <c r="I132" s="27" t="s">
        <v>1225</v>
      </c>
      <c r="J132" s="27" t="s">
        <v>402</v>
      </c>
      <c r="K132" s="23" t="s">
        <v>120</v>
      </c>
      <c r="L132" s="40" t="s">
        <v>67</v>
      </c>
    </row>
    <row r="133" customFormat="false" ht="36" hidden="false" customHeight="true" outlineLevel="0" collapsed="false">
      <c r="A133" s="22" t="s">
        <v>409</v>
      </c>
      <c r="B133" s="47" t="s">
        <v>379</v>
      </c>
      <c r="C133" s="23" t="s">
        <v>360</v>
      </c>
      <c r="D133" s="24" t="s">
        <v>1267</v>
      </c>
      <c r="E133" s="25" t="s">
        <v>1268</v>
      </c>
      <c r="F133" s="25" t="s">
        <v>1269</v>
      </c>
      <c r="G133" s="25" t="s">
        <v>1270</v>
      </c>
      <c r="H133" s="25" t="s">
        <v>1271</v>
      </c>
      <c r="I133" s="27" t="s">
        <v>1206</v>
      </c>
      <c r="J133" s="27" t="s">
        <v>406</v>
      </c>
      <c r="K133" s="23" t="s">
        <v>127</v>
      </c>
      <c r="L133" s="40" t="s">
        <v>67</v>
      </c>
    </row>
    <row r="134" customFormat="false" ht="36" hidden="false" customHeight="true" outlineLevel="0" collapsed="false">
      <c r="A134" s="22" t="s">
        <v>1272</v>
      </c>
      <c r="B134" s="48" t="s">
        <v>411</v>
      </c>
      <c r="C134" s="23" t="s">
        <v>412</v>
      </c>
      <c r="D134" s="24" t="s">
        <v>1273</v>
      </c>
      <c r="E134" s="25" t="s">
        <v>1274</v>
      </c>
      <c r="F134" s="25" t="s">
        <v>1275</v>
      </c>
      <c r="G134" s="29" t="s">
        <v>1276</v>
      </c>
      <c r="H134" s="25" t="s">
        <v>1277</v>
      </c>
      <c r="I134" s="27" t="s">
        <v>783</v>
      </c>
      <c r="J134" s="27" t="s">
        <v>410</v>
      </c>
      <c r="K134" s="23" t="s">
        <v>119</v>
      </c>
      <c r="L134" s="38" t="s">
        <v>121</v>
      </c>
    </row>
    <row r="135" customFormat="false" ht="36" hidden="false" customHeight="true" outlineLevel="0" collapsed="false">
      <c r="A135" s="22" t="s">
        <v>1278</v>
      </c>
      <c r="B135" s="48" t="s">
        <v>411</v>
      </c>
      <c r="C135" s="23" t="s">
        <v>412</v>
      </c>
      <c r="D135" s="24" t="s">
        <v>1279</v>
      </c>
      <c r="E135" s="25" t="s">
        <v>1280</v>
      </c>
      <c r="F135" s="25" t="s">
        <v>1281</v>
      </c>
      <c r="G135" s="25" t="s">
        <v>1282</v>
      </c>
      <c r="H135" s="25" t="s">
        <v>1283</v>
      </c>
      <c r="I135" s="27" t="s">
        <v>571</v>
      </c>
      <c r="J135" s="27" t="s">
        <v>410</v>
      </c>
      <c r="K135" s="23" t="s">
        <v>119</v>
      </c>
      <c r="L135" s="38" t="s">
        <v>121</v>
      </c>
    </row>
    <row r="136" customFormat="false" ht="36" hidden="false" customHeight="true" outlineLevel="0" collapsed="false">
      <c r="A136" s="22" t="s">
        <v>1284</v>
      </c>
      <c r="B136" s="48" t="s">
        <v>411</v>
      </c>
      <c r="C136" s="23" t="s">
        <v>412</v>
      </c>
      <c r="D136" s="24" t="s">
        <v>1285</v>
      </c>
      <c r="E136" s="25" t="s">
        <v>1286</v>
      </c>
      <c r="F136" s="25" t="s">
        <v>1287</v>
      </c>
      <c r="G136" s="25" t="s">
        <v>1288</v>
      </c>
      <c r="H136" s="25" t="s">
        <v>1289</v>
      </c>
      <c r="I136" s="27" t="s">
        <v>783</v>
      </c>
      <c r="J136" s="27" t="s">
        <v>410</v>
      </c>
      <c r="K136" s="23" t="s">
        <v>119</v>
      </c>
      <c r="L136" s="38" t="s">
        <v>121</v>
      </c>
    </row>
    <row r="137" customFormat="false" ht="36" hidden="false" customHeight="true" outlineLevel="0" collapsed="false">
      <c r="A137" s="22" t="s">
        <v>1290</v>
      </c>
      <c r="B137" s="48" t="s">
        <v>411</v>
      </c>
      <c r="C137" s="23" t="s">
        <v>412</v>
      </c>
      <c r="D137" s="24" t="s">
        <v>1291</v>
      </c>
      <c r="E137" s="25" t="s">
        <v>1292</v>
      </c>
      <c r="F137" s="25" t="s">
        <v>1293</v>
      </c>
      <c r="G137" s="29" t="s">
        <v>1294</v>
      </c>
      <c r="H137" s="25" t="s">
        <v>1295</v>
      </c>
      <c r="I137" s="27" t="s">
        <v>593</v>
      </c>
      <c r="J137" s="27" t="s">
        <v>410</v>
      </c>
      <c r="K137" s="23" t="s">
        <v>119</v>
      </c>
      <c r="L137" s="38" t="s">
        <v>121</v>
      </c>
    </row>
    <row r="138" customFormat="false" ht="36" hidden="false" customHeight="true" outlineLevel="0" collapsed="false">
      <c r="A138" s="22" t="s">
        <v>1296</v>
      </c>
      <c r="B138" s="48" t="s">
        <v>411</v>
      </c>
      <c r="C138" s="23" t="s">
        <v>412</v>
      </c>
      <c r="D138" s="24" t="s">
        <v>1297</v>
      </c>
      <c r="E138" s="25" t="s">
        <v>1298</v>
      </c>
      <c r="F138" s="25" t="s">
        <v>1299</v>
      </c>
      <c r="G138" s="25" t="s">
        <v>1300</v>
      </c>
      <c r="H138" s="25" t="s">
        <v>1301</v>
      </c>
      <c r="I138" s="27" t="s">
        <v>593</v>
      </c>
      <c r="J138" s="27" t="s">
        <v>410</v>
      </c>
      <c r="K138" s="23" t="s">
        <v>119</v>
      </c>
      <c r="L138" s="38" t="s">
        <v>121</v>
      </c>
    </row>
    <row r="139" customFormat="false" ht="36" hidden="false" customHeight="true" outlineLevel="0" collapsed="false">
      <c r="A139" s="22" t="s">
        <v>1302</v>
      </c>
      <c r="B139" s="48" t="s">
        <v>411</v>
      </c>
      <c r="C139" s="23" t="s">
        <v>412</v>
      </c>
      <c r="D139" s="24" t="s">
        <v>1303</v>
      </c>
      <c r="E139" s="25" t="s">
        <v>1304</v>
      </c>
      <c r="F139" s="25" t="s">
        <v>1305</v>
      </c>
      <c r="G139" s="25" t="s">
        <v>1306</v>
      </c>
      <c r="H139" s="25" t="s">
        <v>1307</v>
      </c>
      <c r="I139" s="27" t="s">
        <v>1308</v>
      </c>
      <c r="J139" s="27" t="s">
        <v>416</v>
      </c>
      <c r="K139" s="23" t="s">
        <v>120</v>
      </c>
      <c r="L139" s="40" t="s">
        <v>67</v>
      </c>
    </row>
    <row r="140" customFormat="false" ht="36" hidden="false" customHeight="true" outlineLevel="0" collapsed="false">
      <c r="A140" s="22" t="s">
        <v>1309</v>
      </c>
      <c r="B140" s="48" t="s">
        <v>411</v>
      </c>
      <c r="C140" s="23" t="s">
        <v>412</v>
      </c>
      <c r="D140" s="24" t="s">
        <v>1310</v>
      </c>
      <c r="E140" s="25" t="s">
        <v>1311</v>
      </c>
      <c r="F140" s="25" t="s">
        <v>1312</v>
      </c>
      <c r="G140" s="25" t="s">
        <v>1313</v>
      </c>
      <c r="H140" s="25" t="s">
        <v>963</v>
      </c>
      <c r="I140" s="27" t="s">
        <v>1308</v>
      </c>
      <c r="J140" s="27" t="s">
        <v>416</v>
      </c>
      <c r="K140" s="23" t="s">
        <v>127</v>
      </c>
      <c r="L140" s="40" t="s">
        <v>67</v>
      </c>
    </row>
    <row r="141" customFormat="false" ht="36" hidden="false" customHeight="true" outlineLevel="0" collapsed="false">
      <c r="A141" s="22" t="s">
        <v>1314</v>
      </c>
      <c r="B141" s="48" t="s">
        <v>411</v>
      </c>
      <c r="C141" s="23" t="s">
        <v>421</v>
      </c>
      <c r="D141" s="24" t="s">
        <v>1315</v>
      </c>
      <c r="E141" s="25" t="s">
        <v>1316</v>
      </c>
      <c r="F141" s="25" t="s">
        <v>1317</v>
      </c>
      <c r="G141" s="29" t="s">
        <v>1318</v>
      </c>
      <c r="H141" s="25" t="s">
        <v>1319</v>
      </c>
      <c r="I141" s="27" t="s">
        <v>1320</v>
      </c>
      <c r="J141" s="27" t="s">
        <v>420</v>
      </c>
      <c r="K141" s="23" t="s">
        <v>120</v>
      </c>
      <c r="L141" s="39" t="s">
        <v>64</v>
      </c>
    </row>
    <row r="142" customFormat="false" ht="36" hidden="false" customHeight="true" outlineLevel="0" collapsed="false">
      <c r="A142" s="22" t="s">
        <v>1321</v>
      </c>
      <c r="B142" s="48" t="s">
        <v>411</v>
      </c>
      <c r="C142" s="23" t="s">
        <v>421</v>
      </c>
      <c r="D142" s="24" t="s">
        <v>1322</v>
      </c>
      <c r="E142" s="25" t="s">
        <v>1323</v>
      </c>
      <c r="F142" s="25" t="s">
        <v>1324</v>
      </c>
      <c r="G142" s="25" t="s">
        <v>1325</v>
      </c>
      <c r="H142" s="25" t="s">
        <v>1326</v>
      </c>
      <c r="I142" s="27" t="s">
        <v>571</v>
      </c>
      <c r="J142" s="27" t="s">
        <v>420</v>
      </c>
      <c r="K142" s="23" t="s">
        <v>120</v>
      </c>
      <c r="L142" s="39" t="s">
        <v>64</v>
      </c>
    </row>
    <row r="143" customFormat="false" ht="36" hidden="false" customHeight="true" outlineLevel="0" collapsed="false">
      <c r="A143" s="22" t="s">
        <v>428</v>
      </c>
      <c r="B143" s="48" t="s">
        <v>411</v>
      </c>
      <c r="C143" s="23" t="s">
        <v>421</v>
      </c>
      <c r="D143" s="28" t="s">
        <v>426</v>
      </c>
      <c r="E143" s="25" t="s">
        <v>1327</v>
      </c>
      <c r="F143" s="25" t="s">
        <v>725</v>
      </c>
      <c r="G143" s="29" t="s">
        <v>1328</v>
      </c>
      <c r="H143" s="29" t="s">
        <v>1329</v>
      </c>
      <c r="I143" s="27" t="s">
        <v>1330</v>
      </c>
      <c r="J143" s="27" t="s">
        <v>425</v>
      </c>
      <c r="K143" s="23" t="s">
        <v>120</v>
      </c>
      <c r="L143" s="39" t="s">
        <v>64</v>
      </c>
    </row>
    <row r="144" customFormat="false" ht="36" hidden="false" customHeight="true" outlineLevel="0" collapsed="false">
      <c r="A144" s="22" t="s">
        <v>1331</v>
      </c>
      <c r="B144" s="48" t="s">
        <v>411</v>
      </c>
      <c r="C144" s="23" t="s">
        <v>344</v>
      </c>
      <c r="D144" s="24" t="s">
        <v>1332</v>
      </c>
      <c r="E144" s="25" t="s">
        <v>1333</v>
      </c>
      <c r="F144" s="25" t="s">
        <v>1334</v>
      </c>
      <c r="G144" s="29" t="s">
        <v>1335</v>
      </c>
      <c r="H144" s="25" t="s">
        <v>1336</v>
      </c>
      <c r="I144" s="27" t="s">
        <v>571</v>
      </c>
      <c r="J144" s="27" t="s">
        <v>429</v>
      </c>
      <c r="K144" s="23" t="s">
        <v>120</v>
      </c>
      <c r="L144" s="39" t="s">
        <v>64</v>
      </c>
    </row>
    <row r="145" customFormat="false" ht="36" hidden="false" customHeight="true" outlineLevel="0" collapsed="false">
      <c r="A145" s="22" t="s">
        <v>1337</v>
      </c>
      <c r="B145" s="48" t="s">
        <v>411</v>
      </c>
      <c r="C145" s="23" t="s">
        <v>344</v>
      </c>
      <c r="D145" s="24" t="s">
        <v>1338</v>
      </c>
      <c r="E145" s="25" t="s">
        <v>1339</v>
      </c>
      <c r="F145" s="25" t="s">
        <v>1340</v>
      </c>
      <c r="G145" s="25" t="s">
        <v>1341</v>
      </c>
      <c r="H145" s="25" t="s">
        <v>1342</v>
      </c>
      <c r="I145" s="27" t="s">
        <v>593</v>
      </c>
      <c r="J145" s="27" t="s">
        <v>429</v>
      </c>
      <c r="K145" s="23" t="s">
        <v>127</v>
      </c>
      <c r="L145" s="39" t="s">
        <v>64</v>
      </c>
    </row>
    <row r="146" customFormat="false" ht="36" hidden="false" customHeight="true" outlineLevel="0" collapsed="false">
      <c r="A146" s="22" t="s">
        <v>1343</v>
      </c>
      <c r="B146" s="48" t="s">
        <v>411</v>
      </c>
      <c r="C146" s="23" t="s">
        <v>434</v>
      </c>
      <c r="D146" s="24" t="s">
        <v>1344</v>
      </c>
      <c r="E146" s="25" t="s">
        <v>1345</v>
      </c>
      <c r="F146" s="25" t="s">
        <v>1346</v>
      </c>
      <c r="G146" s="29" t="s">
        <v>1347</v>
      </c>
      <c r="H146" s="25" t="s">
        <v>1348</v>
      </c>
      <c r="I146" s="27" t="s">
        <v>1349</v>
      </c>
      <c r="J146" s="27" t="s">
        <v>433</v>
      </c>
      <c r="K146" s="23" t="s">
        <v>127</v>
      </c>
      <c r="L146" s="40" t="s">
        <v>67</v>
      </c>
    </row>
    <row r="147" customFormat="false" ht="36" hidden="false" customHeight="true" outlineLevel="0" collapsed="false">
      <c r="A147" s="22" t="s">
        <v>1350</v>
      </c>
      <c r="B147" s="48" t="s">
        <v>411</v>
      </c>
      <c r="C147" s="23" t="s">
        <v>434</v>
      </c>
      <c r="D147" s="24" t="s">
        <v>1351</v>
      </c>
      <c r="E147" s="25" t="s">
        <v>1352</v>
      </c>
      <c r="F147" s="25" t="s">
        <v>1353</v>
      </c>
      <c r="G147" s="25" t="s">
        <v>1354</v>
      </c>
      <c r="H147" s="25" t="s">
        <v>1355</v>
      </c>
      <c r="I147" s="27" t="s">
        <v>1349</v>
      </c>
      <c r="J147" s="27" t="s">
        <v>433</v>
      </c>
      <c r="K147" s="23" t="s">
        <v>127</v>
      </c>
      <c r="L147" s="40" t="s">
        <v>67</v>
      </c>
    </row>
    <row r="148" customFormat="false" ht="36" hidden="false" customHeight="true" outlineLevel="0" collapsed="false">
      <c r="A148" s="22" t="s">
        <v>1356</v>
      </c>
      <c r="B148" s="48" t="s">
        <v>411</v>
      </c>
      <c r="C148" s="23" t="s">
        <v>434</v>
      </c>
      <c r="D148" s="24" t="s">
        <v>1357</v>
      </c>
      <c r="E148" s="25" t="s">
        <v>1358</v>
      </c>
      <c r="F148" s="25" t="s">
        <v>696</v>
      </c>
      <c r="G148" s="25" t="s">
        <v>1359</v>
      </c>
      <c r="H148" s="25" t="s">
        <v>1360</v>
      </c>
      <c r="I148" s="27" t="s">
        <v>1349</v>
      </c>
      <c r="J148" s="27" t="s">
        <v>433</v>
      </c>
      <c r="K148" s="23" t="s">
        <v>127</v>
      </c>
      <c r="L148" s="40" t="s">
        <v>67</v>
      </c>
    </row>
    <row r="149" customFormat="false" ht="36" hidden="false" customHeight="true" outlineLevel="0" collapsed="false">
      <c r="A149" s="22" t="s">
        <v>1361</v>
      </c>
      <c r="B149" s="48" t="s">
        <v>411</v>
      </c>
      <c r="C149" s="23" t="s">
        <v>434</v>
      </c>
      <c r="D149" s="28" t="s">
        <v>1362</v>
      </c>
      <c r="E149" s="25" t="s">
        <v>1363</v>
      </c>
      <c r="F149" s="25" t="s">
        <v>1364</v>
      </c>
      <c r="G149" s="25" t="s">
        <v>1365</v>
      </c>
      <c r="H149" s="25" t="s">
        <v>1366</v>
      </c>
      <c r="I149" s="27" t="s">
        <v>593</v>
      </c>
      <c r="J149" s="27" t="s">
        <v>438</v>
      </c>
      <c r="K149" s="23" t="s">
        <v>127</v>
      </c>
      <c r="L149" s="40" t="s">
        <v>67</v>
      </c>
    </row>
    <row r="150" customFormat="false" ht="36" hidden="false" customHeight="true" outlineLevel="0" collapsed="false">
      <c r="A150" s="22" t="s">
        <v>1367</v>
      </c>
      <c r="B150" s="48" t="s">
        <v>411</v>
      </c>
      <c r="C150" s="23" t="s">
        <v>434</v>
      </c>
      <c r="D150" s="28" t="s">
        <v>1368</v>
      </c>
      <c r="E150" s="25" t="s">
        <v>1369</v>
      </c>
      <c r="F150" s="25" t="s">
        <v>1370</v>
      </c>
      <c r="G150" s="25" t="s">
        <v>1371</v>
      </c>
      <c r="H150" s="25" t="s">
        <v>1372</v>
      </c>
      <c r="I150" s="27" t="s">
        <v>593</v>
      </c>
      <c r="J150" s="27" t="s">
        <v>438</v>
      </c>
      <c r="K150" s="23" t="s">
        <v>127</v>
      </c>
      <c r="L150" s="40" t="s">
        <v>67</v>
      </c>
    </row>
    <row r="151" customFormat="false" ht="36" hidden="false" customHeight="true" outlineLevel="0" collapsed="false">
      <c r="A151" s="22" t="s">
        <v>447</v>
      </c>
      <c r="B151" s="49" t="s">
        <v>443</v>
      </c>
      <c r="C151" s="23" t="s">
        <v>444</v>
      </c>
      <c r="D151" s="24" t="s">
        <v>1373</v>
      </c>
      <c r="E151" s="29" t="s">
        <v>1374</v>
      </c>
      <c r="F151" s="25" t="s">
        <v>1375</v>
      </c>
      <c r="G151" s="25" t="s">
        <v>1376</v>
      </c>
      <c r="H151" s="25" t="s">
        <v>1377</v>
      </c>
      <c r="I151" s="27" t="s">
        <v>593</v>
      </c>
      <c r="J151" s="27" t="s">
        <v>442</v>
      </c>
      <c r="K151" s="23" t="s">
        <v>119</v>
      </c>
      <c r="L151" s="38" t="s">
        <v>121</v>
      </c>
    </row>
    <row r="152" customFormat="false" ht="36" hidden="false" customHeight="true" outlineLevel="0" collapsed="false">
      <c r="A152" s="22" t="s">
        <v>1378</v>
      </c>
      <c r="B152" s="49" t="s">
        <v>443</v>
      </c>
      <c r="C152" s="23" t="s">
        <v>449</v>
      </c>
      <c r="D152" s="24" t="s">
        <v>1379</v>
      </c>
      <c r="E152" s="25" t="s">
        <v>1380</v>
      </c>
      <c r="F152" s="25" t="s">
        <v>1381</v>
      </c>
      <c r="G152" s="29" t="s">
        <v>1382</v>
      </c>
      <c r="H152" s="25" t="s">
        <v>1383</v>
      </c>
      <c r="I152" s="27" t="s">
        <v>593</v>
      </c>
      <c r="J152" s="27" t="s">
        <v>448</v>
      </c>
      <c r="K152" s="23" t="s">
        <v>119</v>
      </c>
      <c r="L152" s="39" t="s">
        <v>64</v>
      </c>
    </row>
    <row r="153" customFormat="false" ht="36" hidden="false" customHeight="true" outlineLevel="0" collapsed="false">
      <c r="A153" s="22" t="s">
        <v>1384</v>
      </c>
      <c r="B153" s="49" t="s">
        <v>443</v>
      </c>
      <c r="C153" s="23" t="s">
        <v>449</v>
      </c>
      <c r="D153" s="24" t="s">
        <v>1385</v>
      </c>
      <c r="E153" s="25" t="s">
        <v>1386</v>
      </c>
      <c r="F153" s="25" t="s">
        <v>1387</v>
      </c>
      <c r="G153" s="25" t="s">
        <v>1388</v>
      </c>
      <c r="H153" s="25" t="s">
        <v>1389</v>
      </c>
      <c r="I153" s="27" t="s">
        <v>593</v>
      </c>
      <c r="J153" s="27" t="s">
        <v>448</v>
      </c>
      <c r="K153" s="23" t="s">
        <v>119</v>
      </c>
      <c r="L153" s="39" t="s">
        <v>64</v>
      </c>
    </row>
    <row r="154" customFormat="false" ht="36" hidden="false" customHeight="true" outlineLevel="0" collapsed="false">
      <c r="A154" s="22" t="s">
        <v>1390</v>
      </c>
      <c r="B154" s="49" t="s">
        <v>443</v>
      </c>
      <c r="C154" s="23" t="s">
        <v>449</v>
      </c>
      <c r="D154" s="24" t="s">
        <v>1391</v>
      </c>
      <c r="E154" s="25" t="s">
        <v>1392</v>
      </c>
      <c r="F154" s="25" t="s">
        <v>1393</v>
      </c>
      <c r="G154" s="29" t="s">
        <v>1394</v>
      </c>
      <c r="H154" s="25" t="s">
        <v>1395</v>
      </c>
      <c r="I154" s="27" t="s">
        <v>593</v>
      </c>
      <c r="J154" s="27" t="s">
        <v>448</v>
      </c>
      <c r="K154" s="23" t="s">
        <v>119</v>
      </c>
      <c r="L154" s="39" t="s">
        <v>64</v>
      </c>
    </row>
    <row r="155" customFormat="false" ht="36" hidden="false" customHeight="true" outlineLevel="0" collapsed="false">
      <c r="A155" s="22" t="s">
        <v>1396</v>
      </c>
      <c r="B155" s="49" t="s">
        <v>443</v>
      </c>
      <c r="C155" s="23" t="s">
        <v>449</v>
      </c>
      <c r="D155" s="24" t="s">
        <v>1397</v>
      </c>
      <c r="E155" s="25" t="s">
        <v>1398</v>
      </c>
      <c r="F155" s="25" t="s">
        <v>1399</v>
      </c>
      <c r="G155" s="29" t="s">
        <v>1400</v>
      </c>
      <c r="H155" s="25" t="s">
        <v>1401</v>
      </c>
      <c r="I155" s="27" t="s">
        <v>593</v>
      </c>
      <c r="J155" s="27" t="s">
        <v>448</v>
      </c>
      <c r="K155" s="23" t="s">
        <v>119</v>
      </c>
      <c r="L155" s="39" t="s">
        <v>64</v>
      </c>
    </row>
    <row r="156" customFormat="false" ht="36" hidden="false" customHeight="true" outlineLevel="0" collapsed="false">
      <c r="A156" s="22" t="s">
        <v>1402</v>
      </c>
      <c r="B156" s="49" t="s">
        <v>443</v>
      </c>
      <c r="C156" s="23" t="s">
        <v>454</v>
      </c>
      <c r="D156" s="24" t="s">
        <v>1403</v>
      </c>
      <c r="E156" s="25" t="s">
        <v>1404</v>
      </c>
      <c r="F156" s="29" t="s">
        <v>593</v>
      </c>
      <c r="G156" s="25" t="s">
        <v>1405</v>
      </c>
      <c r="H156" s="25" t="s">
        <v>1406</v>
      </c>
      <c r="I156" s="27" t="s">
        <v>1407</v>
      </c>
      <c r="J156" s="27" t="s">
        <v>453</v>
      </c>
      <c r="K156" s="23" t="s">
        <v>119</v>
      </c>
      <c r="L156" s="39" t="s">
        <v>64</v>
      </c>
    </row>
    <row r="157" customFormat="false" ht="36" hidden="false" customHeight="true" outlineLevel="0" collapsed="false">
      <c r="A157" s="22" t="s">
        <v>1408</v>
      </c>
      <c r="B157" s="49" t="s">
        <v>443</v>
      </c>
      <c r="C157" s="23" t="s">
        <v>454</v>
      </c>
      <c r="D157" s="24" t="s">
        <v>1409</v>
      </c>
      <c r="E157" s="25" t="s">
        <v>1410</v>
      </c>
      <c r="F157" s="25" t="s">
        <v>1406</v>
      </c>
      <c r="G157" s="25" t="s">
        <v>1411</v>
      </c>
      <c r="H157" s="25" t="s">
        <v>1412</v>
      </c>
      <c r="I157" s="27" t="s">
        <v>1407</v>
      </c>
      <c r="J157" s="27" t="s">
        <v>453</v>
      </c>
      <c r="K157" s="23" t="s">
        <v>119</v>
      </c>
      <c r="L157" s="39" t="s">
        <v>64</v>
      </c>
    </row>
    <row r="158" customFormat="false" ht="36" hidden="false" customHeight="true" outlineLevel="0" collapsed="false">
      <c r="A158" s="22" t="s">
        <v>1413</v>
      </c>
      <c r="B158" s="49" t="s">
        <v>443</v>
      </c>
      <c r="C158" s="23" t="s">
        <v>454</v>
      </c>
      <c r="D158" s="28" t="s">
        <v>1414</v>
      </c>
      <c r="E158" s="25" t="s">
        <v>1415</v>
      </c>
      <c r="F158" s="25" t="s">
        <v>1416</v>
      </c>
      <c r="G158" s="29" t="s">
        <v>1417</v>
      </c>
      <c r="H158" s="29" t="s">
        <v>1418</v>
      </c>
      <c r="I158" s="27" t="s">
        <v>1407</v>
      </c>
      <c r="J158" s="27" t="s">
        <v>453</v>
      </c>
      <c r="K158" s="23" t="s">
        <v>120</v>
      </c>
      <c r="L158" s="39" t="s">
        <v>64</v>
      </c>
    </row>
    <row r="159" customFormat="false" ht="36" hidden="false" customHeight="true" outlineLevel="0" collapsed="false">
      <c r="A159" s="22" t="s">
        <v>1419</v>
      </c>
      <c r="B159" s="49" t="s">
        <v>443</v>
      </c>
      <c r="C159" s="23" t="s">
        <v>454</v>
      </c>
      <c r="D159" s="24" t="s">
        <v>1420</v>
      </c>
      <c r="E159" s="25" t="s">
        <v>1421</v>
      </c>
      <c r="F159" s="25" t="s">
        <v>1422</v>
      </c>
      <c r="G159" s="29" t="s">
        <v>1423</v>
      </c>
      <c r="H159" s="25" t="s">
        <v>1424</v>
      </c>
      <c r="I159" s="27" t="s">
        <v>593</v>
      </c>
      <c r="J159" s="27" t="s">
        <v>453</v>
      </c>
      <c r="K159" s="23" t="s">
        <v>120</v>
      </c>
      <c r="L159" s="39" t="s">
        <v>64</v>
      </c>
    </row>
    <row r="160" customFormat="false" ht="36" hidden="false" customHeight="true" outlineLevel="0" collapsed="false">
      <c r="A160" s="22" t="s">
        <v>462</v>
      </c>
      <c r="B160" s="49" t="s">
        <v>443</v>
      </c>
      <c r="C160" s="23" t="s">
        <v>459</v>
      </c>
      <c r="D160" s="24" t="s">
        <v>460</v>
      </c>
      <c r="E160" s="25" t="s">
        <v>1425</v>
      </c>
      <c r="F160" s="25" t="s">
        <v>1426</v>
      </c>
      <c r="G160" s="29" t="s">
        <v>1427</v>
      </c>
      <c r="H160" s="25" t="s">
        <v>1428</v>
      </c>
      <c r="I160" s="27" t="s">
        <v>1407</v>
      </c>
      <c r="J160" s="27" t="s">
        <v>458</v>
      </c>
      <c r="K160" s="23" t="s">
        <v>120</v>
      </c>
      <c r="L160" s="39" t="s">
        <v>64</v>
      </c>
    </row>
    <row r="161" customFormat="false" ht="36" hidden="false" customHeight="true" outlineLevel="0" collapsed="false">
      <c r="A161" s="22" t="s">
        <v>1429</v>
      </c>
      <c r="B161" s="49" t="s">
        <v>443</v>
      </c>
      <c r="C161" s="23" t="s">
        <v>464</v>
      </c>
      <c r="D161" s="24" t="s">
        <v>1430</v>
      </c>
      <c r="E161" s="25" t="s">
        <v>1431</v>
      </c>
      <c r="F161" s="25" t="s">
        <v>1432</v>
      </c>
      <c r="G161" s="25" t="s">
        <v>1433</v>
      </c>
      <c r="H161" s="25" t="s">
        <v>1434</v>
      </c>
      <c r="I161" s="27" t="s">
        <v>1435</v>
      </c>
      <c r="J161" s="27" t="s">
        <v>463</v>
      </c>
      <c r="K161" s="23" t="s">
        <v>120</v>
      </c>
      <c r="L161" s="39" t="s">
        <v>64</v>
      </c>
    </row>
    <row r="162" customFormat="false" ht="36" hidden="false" customHeight="true" outlineLevel="0" collapsed="false">
      <c r="A162" s="22" t="s">
        <v>1436</v>
      </c>
      <c r="B162" s="49" t="s">
        <v>443</v>
      </c>
      <c r="C162" s="23" t="s">
        <v>464</v>
      </c>
      <c r="D162" s="24" t="s">
        <v>1437</v>
      </c>
      <c r="E162" s="25" t="s">
        <v>1438</v>
      </c>
      <c r="F162" s="25" t="s">
        <v>1439</v>
      </c>
      <c r="G162" s="29" t="s">
        <v>1440</v>
      </c>
      <c r="H162" s="25" t="s">
        <v>1441</v>
      </c>
      <c r="I162" s="27" t="s">
        <v>1435</v>
      </c>
      <c r="J162" s="27" t="s">
        <v>463</v>
      </c>
      <c r="K162" s="23" t="s">
        <v>120</v>
      </c>
      <c r="L162" s="39" t="s">
        <v>64</v>
      </c>
    </row>
  </sheetData>
  <autoFilter ref="A4:L162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2" t="s">
        <v>1442</v>
      </c>
      <c r="B1" s="12"/>
      <c r="C1" s="12"/>
      <c r="D1" s="12"/>
      <c r="E1" s="12"/>
      <c r="F1" s="12"/>
      <c r="G1" s="12"/>
    </row>
    <row r="2" customFormat="false" ht="18" hidden="false" customHeight="true" outlineLevel="0" collapsed="false">
      <c r="A2" s="13" t="s">
        <v>1443</v>
      </c>
      <c r="B2" s="13"/>
      <c r="C2" s="13"/>
      <c r="D2" s="13"/>
      <c r="E2" s="13"/>
      <c r="F2" s="13"/>
      <c r="G2" s="13"/>
    </row>
    <row r="4" customFormat="false" ht="30" hidden="false" customHeight="true" outlineLevel="0" collapsed="false">
      <c r="A4" s="21" t="s">
        <v>1444</v>
      </c>
      <c r="B4" s="21" t="s">
        <v>106</v>
      </c>
      <c r="C4" s="21" t="s">
        <v>1445</v>
      </c>
      <c r="D4" s="21" t="s">
        <v>1446</v>
      </c>
      <c r="E4" s="21" t="s">
        <v>1447</v>
      </c>
      <c r="F4" s="21" t="s">
        <v>113</v>
      </c>
      <c r="G4" s="21" t="s">
        <v>112</v>
      </c>
    </row>
    <row r="5" customFormat="false" ht="33.75" hidden="false" customHeight="true" outlineLevel="0" collapsed="false">
      <c r="A5" s="22" t="s">
        <v>527</v>
      </c>
      <c r="B5" s="23" t="s">
        <v>1448</v>
      </c>
      <c r="C5" s="25" t="s">
        <v>1449</v>
      </c>
      <c r="D5" s="25" t="s">
        <v>1450</v>
      </c>
      <c r="E5" s="25" t="s">
        <v>1451</v>
      </c>
      <c r="F5" s="29" t="s">
        <v>1452</v>
      </c>
      <c r="G5" s="27" t="s">
        <v>121</v>
      </c>
    </row>
    <row r="6" customFormat="false" ht="33.75" hidden="false" customHeight="true" outlineLevel="0" collapsed="false">
      <c r="A6" s="22" t="s">
        <v>534</v>
      </c>
      <c r="B6" s="23" t="s">
        <v>1448</v>
      </c>
      <c r="C6" s="25" t="s">
        <v>1453</v>
      </c>
      <c r="D6" s="25" t="s">
        <v>1454</v>
      </c>
      <c r="E6" s="25" t="s">
        <v>1455</v>
      </c>
      <c r="F6" s="29" t="s">
        <v>1456</v>
      </c>
      <c r="G6" s="27" t="s">
        <v>121</v>
      </c>
    </row>
    <row r="7" customFormat="false" ht="33.75" hidden="false" customHeight="true" outlineLevel="0" collapsed="false">
      <c r="A7" s="22" t="s">
        <v>547</v>
      </c>
      <c r="B7" s="23" t="s">
        <v>1448</v>
      </c>
      <c r="C7" s="25" t="s">
        <v>1457</v>
      </c>
      <c r="D7" s="25" t="s">
        <v>1458</v>
      </c>
      <c r="E7" s="25" t="s">
        <v>1459</v>
      </c>
      <c r="F7" s="29" t="s">
        <v>541</v>
      </c>
      <c r="G7" s="27" t="s">
        <v>121</v>
      </c>
    </row>
    <row r="8" customFormat="false" ht="33.75" hidden="false" customHeight="true" outlineLevel="0" collapsed="false">
      <c r="A8" s="22" t="s">
        <v>554</v>
      </c>
      <c r="B8" s="23" t="s">
        <v>1448</v>
      </c>
      <c r="C8" s="25" t="s">
        <v>1460</v>
      </c>
      <c r="D8" s="25" t="s">
        <v>1461</v>
      </c>
      <c r="E8" s="25" t="s">
        <v>1462</v>
      </c>
      <c r="F8" s="29" t="s">
        <v>128</v>
      </c>
      <c r="G8" s="27" t="s">
        <v>121</v>
      </c>
    </row>
    <row r="9" customFormat="false" ht="33.75" hidden="false" customHeight="true" outlineLevel="0" collapsed="false">
      <c r="A9" s="22" t="s">
        <v>571</v>
      </c>
      <c r="B9" s="23" t="s">
        <v>1448</v>
      </c>
      <c r="C9" s="25" t="s">
        <v>130</v>
      </c>
      <c r="D9" s="25" t="s">
        <v>1463</v>
      </c>
      <c r="E9" s="25" t="s">
        <v>1464</v>
      </c>
      <c r="F9" s="29" t="s">
        <v>1465</v>
      </c>
      <c r="G9" s="27" t="s">
        <v>121</v>
      </c>
    </row>
    <row r="10" customFormat="false" ht="33.75" hidden="false" customHeight="true" outlineLevel="0" collapsed="false">
      <c r="A10" s="22" t="s">
        <v>577</v>
      </c>
      <c r="B10" s="23" t="s">
        <v>1448</v>
      </c>
      <c r="C10" s="25" t="s">
        <v>135</v>
      </c>
      <c r="D10" s="25" t="s">
        <v>1466</v>
      </c>
      <c r="E10" s="25" t="s">
        <v>1467</v>
      </c>
      <c r="F10" s="29" t="s">
        <v>138</v>
      </c>
      <c r="G10" s="27" t="s">
        <v>121</v>
      </c>
    </row>
    <row r="11" customFormat="false" ht="33.75" hidden="false" customHeight="true" outlineLevel="0" collapsed="false">
      <c r="A11" s="22" t="s">
        <v>635</v>
      </c>
      <c r="B11" s="23" t="s">
        <v>148</v>
      </c>
      <c r="C11" s="25" t="s">
        <v>1468</v>
      </c>
      <c r="D11" s="25" t="s">
        <v>1469</v>
      </c>
      <c r="E11" s="25" t="s">
        <v>1470</v>
      </c>
      <c r="F11" s="29" t="s">
        <v>1471</v>
      </c>
      <c r="G11" s="27" t="s">
        <v>121</v>
      </c>
    </row>
    <row r="12" customFormat="false" ht="33.75" hidden="false" customHeight="true" outlineLevel="0" collapsed="false">
      <c r="A12" s="22" t="s">
        <v>606</v>
      </c>
      <c r="B12" s="23" t="s">
        <v>148</v>
      </c>
      <c r="C12" s="25" t="s">
        <v>1472</v>
      </c>
      <c r="D12" s="25" t="s">
        <v>1473</v>
      </c>
      <c r="E12" s="25" t="s">
        <v>1474</v>
      </c>
      <c r="F12" s="29" t="s">
        <v>162</v>
      </c>
      <c r="G12" s="27" t="s">
        <v>64</v>
      </c>
    </row>
    <row r="13" customFormat="false" ht="33.75" hidden="false" customHeight="true" outlineLevel="0" collapsed="false">
      <c r="A13" s="22" t="s">
        <v>599</v>
      </c>
      <c r="B13" s="23" t="s">
        <v>148</v>
      </c>
      <c r="C13" s="25" t="s">
        <v>1475</v>
      </c>
      <c r="D13" s="25" t="s">
        <v>1476</v>
      </c>
      <c r="E13" s="25" t="s">
        <v>1477</v>
      </c>
      <c r="F13" s="29" t="s">
        <v>1478</v>
      </c>
      <c r="G13" s="27" t="s">
        <v>121</v>
      </c>
    </row>
    <row r="14" customFormat="false" ht="33.75" hidden="false" customHeight="true" outlineLevel="0" collapsed="false">
      <c r="A14" s="22" t="s">
        <v>664</v>
      </c>
      <c r="B14" s="23" t="s">
        <v>148</v>
      </c>
      <c r="C14" s="29" t="s">
        <v>184</v>
      </c>
      <c r="D14" s="25" t="s">
        <v>1479</v>
      </c>
      <c r="E14" s="25" t="s">
        <v>1480</v>
      </c>
      <c r="F14" s="29" t="s">
        <v>1481</v>
      </c>
      <c r="G14" s="27" t="s">
        <v>121</v>
      </c>
    </row>
    <row r="15" customFormat="false" ht="33.75" hidden="false" customHeight="true" outlineLevel="0" collapsed="false">
      <c r="A15" s="22" t="s">
        <v>682</v>
      </c>
      <c r="B15" s="23" t="s">
        <v>188</v>
      </c>
      <c r="C15" s="25" t="s">
        <v>1482</v>
      </c>
      <c r="D15" s="25" t="s">
        <v>1483</v>
      </c>
      <c r="E15" s="25" t="s">
        <v>1484</v>
      </c>
      <c r="F15" s="29" t="s">
        <v>1485</v>
      </c>
      <c r="G15" s="27" t="s">
        <v>121</v>
      </c>
    </row>
    <row r="16" customFormat="false" ht="33.75" hidden="false" customHeight="true" outlineLevel="0" collapsed="false">
      <c r="A16" s="22" t="s">
        <v>657</v>
      </c>
      <c r="B16" s="23" t="s">
        <v>188</v>
      </c>
      <c r="C16" s="25" t="s">
        <v>1486</v>
      </c>
      <c r="D16" s="25" t="s">
        <v>1487</v>
      </c>
      <c r="E16" s="25" t="s">
        <v>1488</v>
      </c>
      <c r="F16" s="29" t="s">
        <v>1489</v>
      </c>
      <c r="G16" s="27" t="s">
        <v>121</v>
      </c>
    </row>
    <row r="17" customFormat="false" ht="33.75" hidden="false" customHeight="true" outlineLevel="0" collapsed="false">
      <c r="A17" s="22" t="s">
        <v>783</v>
      </c>
      <c r="B17" s="23" t="s">
        <v>188</v>
      </c>
      <c r="C17" s="25" t="s">
        <v>1490</v>
      </c>
      <c r="D17" s="25" t="s">
        <v>1491</v>
      </c>
      <c r="E17" s="25" t="s">
        <v>1492</v>
      </c>
      <c r="F17" s="29" t="s">
        <v>1493</v>
      </c>
      <c r="G17" s="27" t="s">
        <v>121</v>
      </c>
    </row>
    <row r="18" customFormat="false" ht="33.75" hidden="false" customHeight="true" outlineLevel="0" collapsed="false">
      <c r="A18" s="22" t="s">
        <v>828</v>
      </c>
      <c r="B18" s="23" t="s">
        <v>188</v>
      </c>
      <c r="C18" s="25" t="s">
        <v>1364</v>
      </c>
      <c r="D18" s="25" t="s">
        <v>1494</v>
      </c>
      <c r="E18" s="25" t="s">
        <v>1495</v>
      </c>
      <c r="F18" s="29" t="s">
        <v>1496</v>
      </c>
      <c r="G18" s="27" t="s">
        <v>121</v>
      </c>
    </row>
    <row r="19" customFormat="false" ht="33.75" hidden="false" customHeight="true" outlineLevel="0" collapsed="false">
      <c r="A19" s="22" t="s">
        <v>841</v>
      </c>
      <c r="B19" s="23" t="s">
        <v>188</v>
      </c>
      <c r="C19" s="25" t="s">
        <v>1497</v>
      </c>
      <c r="D19" s="25" t="s">
        <v>1498</v>
      </c>
      <c r="E19" s="25" t="s">
        <v>1499</v>
      </c>
      <c r="F19" s="29" t="s">
        <v>835</v>
      </c>
      <c r="G19" s="27" t="s">
        <v>64</v>
      </c>
    </row>
    <row r="20" customFormat="false" ht="33.75" hidden="false" customHeight="true" outlineLevel="0" collapsed="false">
      <c r="A20" s="22" t="s">
        <v>875</v>
      </c>
      <c r="B20" s="23" t="s">
        <v>247</v>
      </c>
      <c r="C20" s="25" t="s">
        <v>874</v>
      </c>
      <c r="D20" s="25" t="s">
        <v>1500</v>
      </c>
      <c r="E20" s="25" t="s">
        <v>1501</v>
      </c>
      <c r="F20" s="29" t="s">
        <v>1502</v>
      </c>
      <c r="G20" s="27" t="s">
        <v>121</v>
      </c>
    </row>
    <row r="21" customFormat="false" ht="33.75" hidden="false" customHeight="true" outlineLevel="0" collapsed="false">
      <c r="A21" s="22" t="s">
        <v>869</v>
      </c>
      <c r="B21" s="23" t="s">
        <v>247</v>
      </c>
      <c r="C21" s="25" t="s">
        <v>1503</v>
      </c>
      <c r="D21" s="25" t="s">
        <v>1504</v>
      </c>
      <c r="E21" s="25" t="s">
        <v>1505</v>
      </c>
      <c r="F21" s="29" t="s">
        <v>1506</v>
      </c>
      <c r="G21" s="27" t="s">
        <v>121</v>
      </c>
    </row>
    <row r="22" customFormat="false" ht="33.75" hidden="false" customHeight="true" outlineLevel="0" collapsed="false">
      <c r="A22" s="22" t="s">
        <v>915</v>
      </c>
      <c r="B22" s="23" t="s">
        <v>247</v>
      </c>
      <c r="C22" s="25" t="s">
        <v>1507</v>
      </c>
      <c r="D22" s="25" t="s">
        <v>1508</v>
      </c>
      <c r="E22" s="25" t="s">
        <v>1509</v>
      </c>
      <c r="F22" s="29" t="s">
        <v>264</v>
      </c>
      <c r="G22" s="27" t="s">
        <v>64</v>
      </c>
    </row>
    <row r="23" customFormat="false" ht="33.75" hidden="false" customHeight="true" outlineLevel="0" collapsed="false">
      <c r="A23" s="22" t="s">
        <v>934</v>
      </c>
      <c r="B23" s="23" t="s">
        <v>247</v>
      </c>
      <c r="C23" s="25" t="s">
        <v>1510</v>
      </c>
      <c r="D23" s="25" t="s">
        <v>1511</v>
      </c>
      <c r="E23" s="25" t="s">
        <v>1512</v>
      </c>
      <c r="F23" s="29" t="s">
        <v>269</v>
      </c>
      <c r="G23" s="27" t="s">
        <v>67</v>
      </c>
    </row>
    <row r="24" customFormat="false" ht="33.75" hidden="false" customHeight="true" outlineLevel="0" collapsed="false">
      <c r="A24" s="22" t="s">
        <v>964</v>
      </c>
      <c r="B24" s="23" t="s">
        <v>247</v>
      </c>
      <c r="C24" s="25" t="s">
        <v>1513</v>
      </c>
      <c r="D24" s="25" t="s">
        <v>1514</v>
      </c>
      <c r="E24" s="25" t="s">
        <v>1515</v>
      </c>
      <c r="F24" s="29" t="s">
        <v>278</v>
      </c>
      <c r="G24" s="27" t="s">
        <v>64</v>
      </c>
    </row>
    <row r="25" customFormat="false" ht="33.75" hidden="false" customHeight="true" outlineLevel="0" collapsed="false">
      <c r="A25" s="22" t="s">
        <v>976</v>
      </c>
      <c r="B25" s="23" t="s">
        <v>280</v>
      </c>
      <c r="C25" s="25" t="s">
        <v>975</v>
      </c>
      <c r="D25" s="25" t="s">
        <v>1516</v>
      </c>
      <c r="E25" s="25" t="s">
        <v>1517</v>
      </c>
      <c r="F25" s="29" t="s">
        <v>1518</v>
      </c>
      <c r="G25" s="27" t="s">
        <v>121</v>
      </c>
    </row>
    <row r="26" customFormat="false" ht="33.75" hidden="false" customHeight="true" outlineLevel="0" collapsed="false">
      <c r="A26" s="22" t="s">
        <v>1004</v>
      </c>
      <c r="B26" s="23" t="s">
        <v>280</v>
      </c>
      <c r="C26" s="25" t="s">
        <v>1003</v>
      </c>
      <c r="D26" s="25" t="s">
        <v>1519</v>
      </c>
      <c r="E26" s="25" t="s">
        <v>1520</v>
      </c>
      <c r="F26" s="29" t="s">
        <v>998</v>
      </c>
      <c r="G26" s="27" t="s">
        <v>64</v>
      </c>
    </row>
    <row r="27" customFormat="false" ht="33.75" hidden="false" customHeight="true" outlineLevel="0" collapsed="false">
      <c r="A27" s="22" t="s">
        <v>1051</v>
      </c>
      <c r="B27" s="23" t="s">
        <v>1521</v>
      </c>
      <c r="C27" s="25" t="s">
        <v>1522</v>
      </c>
      <c r="D27" s="25" t="s">
        <v>1523</v>
      </c>
      <c r="E27" s="25" t="s">
        <v>1524</v>
      </c>
      <c r="F27" s="29" t="s">
        <v>1525</v>
      </c>
      <c r="G27" s="27" t="s">
        <v>64</v>
      </c>
    </row>
    <row r="28" customFormat="false" ht="33.75" hidden="false" customHeight="true" outlineLevel="0" collapsed="false">
      <c r="A28" s="22" t="s">
        <v>1021</v>
      </c>
      <c r="B28" s="23" t="s">
        <v>1521</v>
      </c>
      <c r="C28" s="25" t="s">
        <v>1526</v>
      </c>
      <c r="D28" s="25" t="s">
        <v>1527</v>
      </c>
      <c r="E28" s="25" t="s">
        <v>1528</v>
      </c>
      <c r="F28" s="29" t="s">
        <v>1529</v>
      </c>
      <c r="G28" s="27" t="s">
        <v>64</v>
      </c>
    </row>
    <row r="29" customFormat="false" ht="33.75" hidden="false" customHeight="true" outlineLevel="0" collapsed="false">
      <c r="A29" s="22" t="s">
        <v>1096</v>
      </c>
      <c r="B29" s="23" t="s">
        <v>1521</v>
      </c>
      <c r="C29" s="25" t="s">
        <v>1530</v>
      </c>
      <c r="D29" s="25" t="s">
        <v>1531</v>
      </c>
      <c r="E29" s="25" t="s">
        <v>1532</v>
      </c>
      <c r="F29" s="29" t="s">
        <v>328</v>
      </c>
      <c r="G29" s="27" t="s">
        <v>67</v>
      </c>
    </row>
    <row r="30" customFormat="false" ht="33.75" hidden="false" customHeight="true" outlineLevel="0" collapsed="false">
      <c r="A30" s="22" t="s">
        <v>1120</v>
      </c>
      <c r="B30" s="23" t="s">
        <v>1521</v>
      </c>
      <c r="C30" s="25" t="s">
        <v>1533</v>
      </c>
      <c r="D30" s="25" t="s">
        <v>1534</v>
      </c>
      <c r="E30" s="29" t="s">
        <v>1535</v>
      </c>
      <c r="F30" s="29" t="s">
        <v>1114</v>
      </c>
      <c r="G30" s="27" t="s">
        <v>64</v>
      </c>
    </row>
    <row r="31" customFormat="false" ht="33.75" hidden="false" customHeight="true" outlineLevel="0" collapsed="false">
      <c r="A31" s="22" t="s">
        <v>1126</v>
      </c>
      <c r="B31" s="23" t="s">
        <v>1521</v>
      </c>
      <c r="C31" s="25" t="s">
        <v>1536</v>
      </c>
      <c r="D31" s="25" t="s">
        <v>1537</v>
      </c>
      <c r="E31" s="25" t="s">
        <v>1538</v>
      </c>
      <c r="F31" s="29" t="s">
        <v>337</v>
      </c>
      <c r="G31" s="27" t="s">
        <v>64</v>
      </c>
    </row>
    <row r="32" customFormat="false" ht="33.75" hidden="false" customHeight="true" outlineLevel="0" collapsed="false">
      <c r="A32" s="22" t="s">
        <v>1137</v>
      </c>
      <c r="B32" s="23" t="s">
        <v>1521</v>
      </c>
      <c r="C32" s="25" t="s">
        <v>1539</v>
      </c>
      <c r="D32" s="25" t="s">
        <v>1540</v>
      </c>
      <c r="E32" s="25" t="s">
        <v>1541</v>
      </c>
      <c r="F32" s="29" t="s">
        <v>342</v>
      </c>
      <c r="G32" s="27" t="s">
        <v>67</v>
      </c>
    </row>
    <row r="33" customFormat="false" ht="33.75" hidden="false" customHeight="true" outlineLevel="0" collapsed="false">
      <c r="A33" s="22" t="s">
        <v>1161</v>
      </c>
      <c r="B33" s="23" t="s">
        <v>349</v>
      </c>
      <c r="C33" s="25" t="s">
        <v>1542</v>
      </c>
      <c r="D33" s="25" t="s">
        <v>1543</v>
      </c>
      <c r="E33" s="25" t="s">
        <v>1544</v>
      </c>
      <c r="F33" s="29" t="s">
        <v>1545</v>
      </c>
      <c r="G33" s="27" t="s">
        <v>64</v>
      </c>
    </row>
    <row r="34" customFormat="false" ht="33.75" hidden="false" customHeight="true" outlineLevel="0" collapsed="false">
      <c r="A34" s="22" t="s">
        <v>1148</v>
      </c>
      <c r="B34" s="23" t="s">
        <v>349</v>
      </c>
      <c r="C34" s="25" t="s">
        <v>1546</v>
      </c>
      <c r="D34" s="25" t="s">
        <v>1547</v>
      </c>
      <c r="E34" s="25" t="s">
        <v>1548</v>
      </c>
      <c r="F34" s="29" t="s">
        <v>1549</v>
      </c>
      <c r="G34" s="27" t="s">
        <v>64</v>
      </c>
    </row>
    <row r="35" customFormat="false" ht="33.75" hidden="false" customHeight="true" outlineLevel="0" collapsed="false">
      <c r="A35" s="22" t="s">
        <v>1166</v>
      </c>
      <c r="B35" s="23" t="s">
        <v>349</v>
      </c>
      <c r="C35" s="25" t="s">
        <v>1550</v>
      </c>
      <c r="D35" s="25" t="s">
        <v>1551</v>
      </c>
      <c r="E35" s="25" t="s">
        <v>1552</v>
      </c>
      <c r="F35" s="29" t="s">
        <v>358</v>
      </c>
      <c r="G35" s="27" t="s">
        <v>67</v>
      </c>
    </row>
    <row r="36" customFormat="false" ht="33.75" hidden="false" customHeight="true" outlineLevel="0" collapsed="false">
      <c r="A36" s="22" t="s">
        <v>1173</v>
      </c>
      <c r="B36" s="23" t="s">
        <v>349</v>
      </c>
      <c r="C36" s="25" t="s">
        <v>1553</v>
      </c>
      <c r="D36" s="25" t="s">
        <v>1554</v>
      </c>
      <c r="E36" s="25" t="s">
        <v>1555</v>
      </c>
      <c r="F36" s="29" t="s">
        <v>1556</v>
      </c>
      <c r="G36" s="27" t="s">
        <v>67</v>
      </c>
    </row>
    <row r="37" customFormat="false" ht="33.75" hidden="false" customHeight="true" outlineLevel="0" collapsed="false">
      <c r="A37" s="22" t="s">
        <v>1180</v>
      </c>
      <c r="B37" s="23" t="s">
        <v>349</v>
      </c>
      <c r="C37" s="25" t="s">
        <v>1557</v>
      </c>
      <c r="D37" s="25" t="s">
        <v>1558</v>
      </c>
      <c r="E37" s="25" t="s">
        <v>1559</v>
      </c>
      <c r="F37" s="29" t="s">
        <v>1174</v>
      </c>
      <c r="G37" s="27" t="s">
        <v>67</v>
      </c>
    </row>
    <row r="38" customFormat="false" ht="33.75" hidden="false" customHeight="true" outlineLevel="0" collapsed="false">
      <c r="A38" s="22" t="s">
        <v>1199</v>
      </c>
      <c r="B38" s="23" t="s">
        <v>349</v>
      </c>
      <c r="C38" s="25" t="s">
        <v>1560</v>
      </c>
      <c r="D38" s="25" t="s">
        <v>1561</v>
      </c>
      <c r="E38" s="25" t="s">
        <v>1562</v>
      </c>
      <c r="F38" s="29" t="s">
        <v>377</v>
      </c>
      <c r="G38" s="27" t="s">
        <v>67</v>
      </c>
    </row>
    <row r="39" customFormat="false" ht="33.75" hidden="false" customHeight="true" outlineLevel="0" collapsed="false">
      <c r="A39" s="22" t="s">
        <v>1213</v>
      </c>
      <c r="B39" s="23" t="s">
        <v>379</v>
      </c>
      <c r="C39" s="25" t="s">
        <v>1563</v>
      </c>
      <c r="D39" s="25" t="s">
        <v>1564</v>
      </c>
      <c r="E39" s="25" t="s">
        <v>1565</v>
      </c>
      <c r="F39" s="29" t="s">
        <v>1566</v>
      </c>
      <c r="G39" s="27" t="s">
        <v>67</v>
      </c>
    </row>
    <row r="40" customFormat="false" ht="33.75" hidden="false" customHeight="true" outlineLevel="0" collapsed="false">
      <c r="A40" s="22" t="s">
        <v>1206</v>
      </c>
      <c r="B40" s="23" t="s">
        <v>379</v>
      </c>
      <c r="C40" s="25" t="s">
        <v>1567</v>
      </c>
      <c r="D40" s="25" t="s">
        <v>1568</v>
      </c>
      <c r="E40" s="25" t="s">
        <v>1569</v>
      </c>
      <c r="F40" s="29" t="s">
        <v>1570</v>
      </c>
      <c r="G40" s="27" t="s">
        <v>67</v>
      </c>
    </row>
    <row r="41" customFormat="false" ht="33.75" hidden="false" customHeight="true" outlineLevel="0" collapsed="false">
      <c r="A41" s="22" t="s">
        <v>1225</v>
      </c>
      <c r="B41" s="23" t="s">
        <v>379</v>
      </c>
      <c r="C41" s="25" t="s">
        <v>1221</v>
      </c>
      <c r="D41" s="25" t="s">
        <v>1571</v>
      </c>
      <c r="E41" s="25" t="s">
        <v>1572</v>
      </c>
      <c r="F41" s="29" t="s">
        <v>1573</v>
      </c>
      <c r="G41" s="27" t="s">
        <v>67</v>
      </c>
    </row>
    <row r="42" customFormat="false" ht="33.75" hidden="false" customHeight="true" outlineLevel="0" collapsed="false">
      <c r="A42" s="22" t="s">
        <v>1238</v>
      </c>
      <c r="B42" s="23" t="s">
        <v>379</v>
      </c>
      <c r="C42" s="25" t="s">
        <v>1233</v>
      </c>
      <c r="D42" s="25" t="s">
        <v>1574</v>
      </c>
      <c r="E42" s="25" t="s">
        <v>1575</v>
      </c>
      <c r="F42" s="29" t="s">
        <v>392</v>
      </c>
      <c r="G42" s="27" t="s">
        <v>67</v>
      </c>
    </row>
    <row r="43" customFormat="false" ht="33.75" hidden="false" customHeight="true" outlineLevel="0" collapsed="false">
      <c r="A43" s="22" t="s">
        <v>1262</v>
      </c>
      <c r="B43" s="23" t="s">
        <v>379</v>
      </c>
      <c r="C43" s="25" t="s">
        <v>1257</v>
      </c>
      <c r="D43" s="25" t="s">
        <v>1576</v>
      </c>
      <c r="E43" s="25" t="s">
        <v>1577</v>
      </c>
      <c r="F43" s="29" t="s">
        <v>401</v>
      </c>
      <c r="G43" s="27" t="s">
        <v>67</v>
      </c>
    </row>
    <row r="44" customFormat="false" ht="33.75" hidden="false" customHeight="true" outlineLevel="0" collapsed="false">
      <c r="A44" s="22" t="s">
        <v>1320</v>
      </c>
      <c r="B44" s="23" t="s">
        <v>411</v>
      </c>
      <c r="C44" s="25" t="s">
        <v>422</v>
      </c>
      <c r="D44" s="25" t="s">
        <v>1578</v>
      </c>
      <c r="E44" s="25" t="s">
        <v>1579</v>
      </c>
      <c r="F44" s="29" t="s">
        <v>1314</v>
      </c>
      <c r="G44" s="27" t="s">
        <v>64</v>
      </c>
    </row>
    <row r="45" customFormat="false" ht="33.75" hidden="false" customHeight="true" outlineLevel="0" collapsed="false">
      <c r="A45" s="22" t="s">
        <v>1308</v>
      </c>
      <c r="B45" s="23" t="s">
        <v>411</v>
      </c>
      <c r="C45" s="25" t="s">
        <v>417</v>
      </c>
      <c r="D45" s="25" t="s">
        <v>1580</v>
      </c>
      <c r="E45" s="25" t="s">
        <v>1581</v>
      </c>
      <c r="F45" s="29" t="s">
        <v>419</v>
      </c>
      <c r="G45" s="27" t="s">
        <v>67</v>
      </c>
    </row>
    <row r="46" customFormat="false" ht="33.75" hidden="false" customHeight="true" outlineLevel="0" collapsed="false">
      <c r="A46" s="22" t="s">
        <v>1330</v>
      </c>
      <c r="B46" s="23" t="s">
        <v>411</v>
      </c>
      <c r="C46" s="29" t="s">
        <v>426</v>
      </c>
      <c r="D46" s="25" t="s">
        <v>1582</v>
      </c>
      <c r="E46" s="25" t="s">
        <v>1583</v>
      </c>
      <c r="F46" s="29" t="s">
        <v>428</v>
      </c>
      <c r="G46" s="27" t="s">
        <v>64</v>
      </c>
    </row>
    <row r="47" customFormat="false" ht="33.75" hidden="false" customHeight="true" outlineLevel="0" collapsed="false">
      <c r="A47" s="22" t="s">
        <v>1349</v>
      </c>
      <c r="B47" s="23" t="s">
        <v>411</v>
      </c>
      <c r="C47" s="25" t="s">
        <v>1584</v>
      </c>
      <c r="D47" s="29" t="s">
        <v>1585</v>
      </c>
      <c r="E47" s="25" t="s">
        <v>1586</v>
      </c>
      <c r="F47" s="29" t="s">
        <v>437</v>
      </c>
      <c r="G47" s="27" t="s">
        <v>67</v>
      </c>
    </row>
    <row r="48" customFormat="false" ht="33.75" hidden="false" customHeight="true" outlineLevel="0" collapsed="false">
      <c r="A48" s="22" t="s">
        <v>1407</v>
      </c>
      <c r="B48" s="23" t="s">
        <v>443</v>
      </c>
      <c r="C48" s="25" t="s">
        <v>1587</v>
      </c>
      <c r="D48" s="25" t="s">
        <v>1588</v>
      </c>
      <c r="E48" s="25" t="s">
        <v>1589</v>
      </c>
      <c r="F48" s="29" t="s">
        <v>1590</v>
      </c>
      <c r="G48" s="27" t="s">
        <v>64</v>
      </c>
    </row>
    <row r="49" customFormat="false" ht="33.75" hidden="false" customHeight="true" outlineLevel="0" collapsed="false">
      <c r="A49" s="22" t="s">
        <v>1435</v>
      </c>
      <c r="B49" s="23" t="s">
        <v>443</v>
      </c>
      <c r="C49" s="25" t="s">
        <v>465</v>
      </c>
      <c r="D49" s="25" t="s">
        <v>1591</v>
      </c>
      <c r="E49" s="25" t="s">
        <v>1592</v>
      </c>
      <c r="F49" s="29" t="s">
        <v>467</v>
      </c>
      <c r="G49" s="27" t="s">
        <v>64</v>
      </c>
    </row>
  </sheetData>
  <autoFilter ref="A4:G4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66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2" t="s">
        <v>1593</v>
      </c>
      <c r="B1" s="12"/>
      <c r="C1" s="12"/>
      <c r="D1" s="12"/>
      <c r="E1" s="12"/>
      <c r="F1" s="12"/>
      <c r="G1" s="12"/>
    </row>
    <row r="2" customFormat="false" ht="18" hidden="false" customHeight="true" outlineLevel="0" collapsed="false">
      <c r="A2" s="13" t="s">
        <v>1594</v>
      </c>
      <c r="B2" s="13"/>
      <c r="C2" s="13"/>
      <c r="D2" s="13"/>
      <c r="E2" s="13"/>
      <c r="F2" s="13"/>
      <c r="G2" s="13"/>
    </row>
    <row r="4" customFormat="false" ht="30" hidden="false" customHeight="true" outlineLevel="0" collapsed="false">
      <c r="A4" s="21" t="s">
        <v>1595</v>
      </c>
      <c r="B4" s="21" t="s">
        <v>1596</v>
      </c>
      <c r="C4" s="21" t="s">
        <v>1597</v>
      </c>
      <c r="D4" s="21" t="s">
        <v>78</v>
      </c>
      <c r="E4" s="21" t="s">
        <v>1598</v>
      </c>
      <c r="F4" s="21" t="s">
        <v>1599</v>
      </c>
      <c r="G4" s="21" t="s">
        <v>112</v>
      </c>
    </row>
    <row r="5" customFormat="false" ht="33.75" hidden="false" customHeight="true" outlineLevel="0" collapsed="false">
      <c r="A5" s="22" t="s">
        <v>1600</v>
      </c>
      <c r="B5" s="23" t="s">
        <v>1601</v>
      </c>
      <c r="C5" s="50" t="s">
        <v>1602</v>
      </c>
      <c r="D5" s="25" t="s">
        <v>1603</v>
      </c>
      <c r="E5" s="29" t="s">
        <v>1604</v>
      </c>
      <c r="F5" s="29" t="s">
        <v>1605</v>
      </c>
      <c r="G5" s="27" t="s">
        <v>121</v>
      </c>
    </row>
    <row r="6" customFormat="false" ht="33.75" hidden="false" customHeight="true" outlineLevel="0" collapsed="false">
      <c r="A6" s="22" t="s">
        <v>1606</v>
      </c>
      <c r="B6" s="23" t="s">
        <v>130</v>
      </c>
      <c r="C6" s="50" t="s">
        <v>1607</v>
      </c>
      <c r="D6" s="25" t="s">
        <v>1608</v>
      </c>
      <c r="E6" s="29" t="s">
        <v>1609</v>
      </c>
      <c r="F6" s="29" t="s">
        <v>1610</v>
      </c>
      <c r="G6" s="27" t="s">
        <v>121</v>
      </c>
    </row>
    <row r="7" customFormat="false" ht="33.75" hidden="false" customHeight="true" outlineLevel="0" collapsed="false">
      <c r="A7" s="22" t="s">
        <v>1611</v>
      </c>
      <c r="B7" s="23" t="s">
        <v>148</v>
      </c>
      <c r="C7" s="50" t="s">
        <v>1612</v>
      </c>
      <c r="D7" s="25" t="s">
        <v>1613</v>
      </c>
      <c r="E7" s="29" t="s">
        <v>1614</v>
      </c>
      <c r="F7" s="29" t="s">
        <v>1615</v>
      </c>
      <c r="G7" s="27" t="s">
        <v>121</v>
      </c>
    </row>
    <row r="8" customFormat="false" ht="33.75" hidden="false" customHeight="true" outlineLevel="0" collapsed="false">
      <c r="A8" s="22" t="s">
        <v>1616</v>
      </c>
      <c r="B8" s="23" t="s">
        <v>1617</v>
      </c>
      <c r="C8" s="50" t="s">
        <v>1618</v>
      </c>
      <c r="D8" s="25" t="s">
        <v>1619</v>
      </c>
      <c r="E8" s="29" t="s">
        <v>1620</v>
      </c>
      <c r="F8" s="29" t="s">
        <v>1621</v>
      </c>
      <c r="G8" s="27" t="s">
        <v>121</v>
      </c>
    </row>
    <row r="9" customFormat="false" ht="33.75" hidden="false" customHeight="true" outlineLevel="0" collapsed="false">
      <c r="A9" s="22" t="s">
        <v>1622</v>
      </c>
      <c r="B9" s="23" t="s">
        <v>1623</v>
      </c>
      <c r="C9" s="50" t="s">
        <v>1624</v>
      </c>
      <c r="D9" s="25" t="s">
        <v>1625</v>
      </c>
      <c r="E9" s="29" t="s">
        <v>1626</v>
      </c>
      <c r="F9" s="29" t="s">
        <v>1627</v>
      </c>
      <c r="G9" s="27" t="s">
        <v>121</v>
      </c>
    </row>
    <row r="10" customFormat="false" ht="33.75" hidden="false" customHeight="true" outlineLevel="0" collapsed="false">
      <c r="A10" s="22" t="s">
        <v>1628</v>
      </c>
      <c r="B10" s="23" t="s">
        <v>643</v>
      </c>
      <c r="C10" s="50" t="s">
        <v>1629</v>
      </c>
      <c r="D10" s="25" t="s">
        <v>1630</v>
      </c>
      <c r="E10" s="29" t="s">
        <v>1631</v>
      </c>
      <c r="F10" s="29" t="s">
        <v>1632</v>
      </c>
      <c r="G10" s="27" t="s">
        <v>121</v>
      </c>
    </row>
    <row r="11" customFormat="false" ht="33.75" hidden="false" customHeight="true" outlineLevel="0" collapsed="false">
      <c r="A11" s="22" t="s">
        <v>1633</v>
      </c>
      <c r="B11" s="27" t="s">
        <v>184</v>
      </c>
      <c r="C11" s="50" t="s">
        <v>1634</v>
      </c>
      <c r="D11" s="25" t="s">
        <v>1635</v>
      </c>
      <c r="E11" s="29" t="s">
        <v>1636</v>
      </c>
      <c r="F11" s="29" t="s">
        <v>1637</v>
      </c>
      <c r="G11" s="27" t="s">
        <v>121</v>
      </c>
    </row>
    <row r="12" customFormat="false" ht="33.75" hidden="false" customHeight="true" outlineLevel="0" collapsed="false">
      <c r="A12" s="22" t="s">
        <v>1638</v>
      </c>
      <c r="B12" s="23" t="s">
        <v>1639</v>
      </c>
      <c r="C12" s="50" t="s">
        <v>1640</v>
      </c>
      <c r="D12" s="25" t="s">
        <v>1641</v>
      </c>
      <c r="E12" s="29" t="s">
        <v>1642</v>
      </c>
      <c r="F12" s="29" t="s">
        <v>1643</v>
      </c>
      <c r="G12" s="27" t="s">
        <v>121</v>
      </c>
    </row>
    <row r="13" customFormat="false" ht="33.75" hidden="false" customHeight="true" outlineLevel="0" collapsed="false">
      <c r="A13" s="22" t="s">
        <v>1644</v>
      </c>
      <c r="B13" s="23" t="s">
        <v>1645</v>
      </c>
      <c r="C13" s="50" t="s">
        <v>1646</v>
      </c>
      <c r="D13" s="25" t="s">
        <v>1647</v>
      </c>
      <c r="E13" s="29" t="s">
        <v>1648</v>
      </c>
      <c r="F13" s="29" t="s">
        <v>1649</v>
      </c>
      <c r="G13" s="27" t="s">
        <v>121</v>
      </c>
    </row>
    <row r="14" customFormat="false" ht="33.75" hidden="false" customHeight="true" outlineLevel="0" collapsed="false">
      <c r="A14" s="22" t="s">
        <v>1650</v>
      </c>
      <c r="B14" s="23" t="s">
        <v>1651</v>
      </c>
      <c r="C14" s="50" t="s">
        <v>1652</v>
      </c>
      <c r="D14" s="25" t="s">
        <v>1653</v>
      </c>
      <c r="E14" s="29" t="s">
        <v>1654</v>
      </c>
      <c r="F14" s="29" t="s">
        <v>1655</v>
      </c>
      <c r="G14" s="27" t="s">
        <v>121</v>
      </c>
    </row>
    <row r="15" customFormat="false" ht="33.75" hidden="false" customHeight="true" outlineLevel="0" collapsed="false">
      <c r="A15" s="22" t="s">
        <v>1656</v>
      </c>
      <c r="B15" s="23" t="s">
        <v>247</v>
      </c>
      <c r="C15" s="50" t="s">
        <v>1657</v>
      </c>
      <c r="D15" s="25" t="s">
        <v>1658</v>
      </c>
      <c r="E15" s="29" t="s">
        <v>1659</v>
      </c>
      <c r="F15" s="29" t="s">
        <v>1660</v>
      </c>
      <c r="G15" s="27" t="s">
        <v>121</v>
      </c>
    </row>
    <row r="16" customFormat="false" ht="33.75" hidden="false" customHeight="true" outlineLevel="0" collapsed="false">
      <c r="A16" s="22" t="s">
        <v>1661</v>
      </c>
      <c r="B16" s="23" t="s">
        <v>1662</v>
      </c>
      <c r="C16" s="50" t="s">
        <v>1663</v>
      </c>
      <c r="D16" s="25" t="s">
        <v>1664</v>
      </c>
      <c r="E16" s="29" t="s">
        <v>1665</v>
      </c>
      <c r="F16" s="29" t="s">
        <v>1666</v>
      </c>
      <c r="G16" s="27" t="s">
        <v>121</v>
      </c>
    </row>
    <row r="17" customFormat="false" ht="33.75" hidden="false" customHeight="true" outlineLevel="0" collapsed="false">
      <c r="A17" s="22" t="s">
        <v>1667</v>
      </c>
      <c r="B17" s="23" t="s">
        <v>1507</v>
      </c>
      <c r="C17" s="50" t="s">
        <v>1668</v>
      </c>
      <c r="D17" s="25" t="s">
        <v>1669</v>
      </c>
      <c r="E17" s="29" t="s">
        <v>1670</v>
      </c>
      <c r="F17" s="29" t="s">
        <v>1671</v>
      </c>
      <c r="G17" s="27" t="s">
        <v>64</v>
      </c>
    </row>
    <row r="18" customFormat="false" ht="33.75" hidden="false" customHeight="true" outlineLevel="0" collapsed="false">
      <c r="A18" s="22" t="s">
        <v>1672</v>
      </c>
      <c r="B18" s="23" t="s">
        <v>1673</v>
      </c>
      <c r="C18" s="50" t="s">
        <v>1674</v>
      </c>
      <c r="D18" s="25" t="s">
        <v>1675</v>
      </c>
      <c r="E18" s="29" t="s">
        <v>1676</v>
      </c>
      <c r="F18" s="29" t="s">
        <v>1627</v>
      </c>
      <c r="G18" s="27" t="s">
        <v>64</v>
      </c>
    </row>
    <row r="19" customFormat="false" ht="33.75" hidden="false" customHeight="true" outlineLevel="0" collapsed="false">
      <c r="A19" s="22" t="s">
        <v>1677</v>
      </c>
      <c r="B19" s="23" t="s">
        <v>1678</v>
      </c>
      <c r="C19" s="50" t="s">
        <v>1679</v>
      </c>
      <c r="D19" s="25" t="s">
        <v>1680</v>
      </c>
      <c r="E19" s="29" t="s">
        <v>1681</v>
      </c>
      <c r="F19" s="29" t="s">
        <v>1637</v>
      </c>
      <c r="G19" s="27" t="s">
        <v>64</v>
      </c>
    </row>
    <row r="20" customFormat="false" ht="33.75" hidden="false" customHeight="true" outlineLevel="0" collapsed="false">
      <c r="A20" s="22" t="s">
        <v>1682</v>
      </c>
      <c r="B20" s="23" t="s">
        <v>351</v>
      </c>
      <c r="C20" s="50" t="s">
        <v>1683</v>
      </c>
      <c r="D20" s="25" t="s">
        <v>1684</v>
      </c>
      <c r="E20" s="29" t="s">
        <v>1685</v>
      </c>
      <c r="F20" s="29" t="s">
        <v>1686</v>
      </c>
      <c r="G20" s="27" t="s">
        <v>64</v>
      </c>
    </row>
    <row r="21" customFormat="false" ht="33.75" hidden="false" customHeight="true" outlineLevel="0" collapsed="false">
      <c r="A21" s="22" t="s">
        <v>1687</v>
      </c>
      <c r="B21" s="23" t="s">
        <v>1688</v>
      </c>
      <c r="C21" s="50" t="s">
        <v>1689</v>
      </c>
      <c r="D21" s="25" t="s">
        <v>1690</v>
      </c>
      <c r="E21" s="29" t="s">
        <v>1691</v>
      </c>
      <c r="F21" s="29" t="s">
        <v>1686</v>
      </c>
      <c r="G21" s="27" t="s">
        <v>67</v>
      </c>
    </row>
    <row r="22" customFormat="false" ht="33.75" hidden="false" customHeight="true" outlineLevel="0" collapsed="false">
      <c r="A22" s="22" t="s">
        <v>1692</v>
      </c>
      <c r="B22" s="23" t="s">
        <v>1693</v>
      </c>
      <c r="C22" s="50" t="s">
        <v>1694</v>
      </c>
      <c r="D22" s="25" t="s">
        <v>1695</v>
      </c>
      <c r="E22" s="29" t="s">
        <v>1696</v>
      </c>
      <c r="F22" s="29" t="s">
        <v>1686</v>
      </c>
      <c r="G22" s="27" t="s">
        <v>67</v>
      </c>
    </row>
    <row r="23" customFormat="false" ht="33.75" hidden="false" customHeight="true" outlineLevel="0" collapsed="false">
      <c r="A23" s="22" t="s">
        <v>1697</v>
      </c>
      <c r="B23" s="23" t="s">
        <v>1698</v>
      </c>
      <c r="C23" s="50" t="s">
        <v>1699</v>
      </c>
      <c r="D23" s="25" t="s">
        <v>1700</v>
      </c>
      <c r="E23" s="29" t="s">
        <v>1701</v>
      </c>
      <c r="F23" s="29" t="s">
        <v>1702</v>
      </c>
      <c r="G23" s="27" t="s">
        <v>67</v>
      </c>
    </row>
    <row r="24" customFormat="false" ht="33.75" hidden="false" customHeight="true" outlineLevel="0" collapsed="false">
      <c r="A24" s="22" t="s">
        <v>1703</v>
      </c>
      <c r="B24" s="23" t="s">
        <v>1704</v>
      </c>
      <c r="C24" s="50" t="s">
        <v>1705</v>
      </c>
      <c r="D24" s="25" t="s">
        <v>1706</v>
      </c>
      <c r="E24" s="29" t="s">
        <v>1707</v>
      </c>
      <c r="F24" s="29" t="s">
        <v>1702</v>
      </c>
      <c r="G24" s="27" t="s">
        <v>67</v>
      </c>
    </row>
    <row r="25" customFormat="false" ht="33.75" hidden="false" customHeight="true" outlineLevel="0" collapsed="false">
      <c r="A25" s="22" t="s">
        <v>1708</v>
      </c>
      <c r="B25" s="23" t="s">
        <v>1205</v>
      </c>
      <c r="C25" s="50" t="s">
        <v>1709</v>
      </c>
      <c r="D25" s="25" t="s">
        <v>1710</v>
      </c>
      <c r="E25" s="29" t="s">
        <v>1711</v>
      </c>
      <c r="F25" s="29" t="s">
        <v>1712</v>
      </c>
      <c r="G25" s="27" t="s">
        <v>67</v>
      </c>
    </row>
    <row r="26" customFormat="false" ht="33.75" hidden="false" customHeight="true" outlineLevel="0" collapsed="false">
      <c r="A26" s="22" t="s">
        <v>1713</v>
      </c>
      <c r="B26" s="23" t="s">
        <v>1714</v>
      </c>
      <c r="C26" s="50" t="s">
        <v>1715</v>
      </c>
      <c r="D26" s="25" t="s">
        <v>1716</v>
      </c>
      <c r="E26" s="29" t="s">
        <v>1717</v>
      </c>
      <c r="F26" s="29" t="s">
        <v>1686</v>
      </c>
      <c r="G26" s="27" t="s">
        <v>64</v>
      </c>
    </row>
    <row r="27" customFormat="false" ht="33.75" hidden="false" customHeight="true" outlineLevel="0" collapsed="false">
      <c r="A27" s="22" t="s">
        <v>1718</v>
      </c>
      <c r="B27" s="23" t="s">
        <v>1719</v>
      </c>
      <c r="C27" s="50" t="s">
        <v>1720</v>
      </c>
      <c r="D27" s="25" t="s">
        <v>1721</v>
      </c>
      <c r="E27" s="25" t="s">
        <v>1722</v>
      </c>
      <c r="F27" s="29" t="s">
        <v>593</v>
      </c>
      <c r="G27" s="27" t="s">
        <v>64</v>
      </c>
    </row>
    <row r="28" customFormat="false" ht="33.75" hidden="false" customHeight="true" outlineLevel="0" collapsed="false">
      <c r="A28" s="22" t="s">
        <v>1723</v>
      </c>
      <c r="B28" s="23" t="s">
        <v>1724</v>
      </c>
      <c r="C28" s="50" t="s">
        <v>1725</v>
      </c>
      <c r="D28" s="25" t="s">
        <v>1726</v>
      </c>
      <c r="E28" s="25" t="s">
        <v>1727</v>
      </c>
      <c r="F28" s="29" t="s">
        <v>593</v>
      </c>
      <c r="G28" s="27" t="s">
        <v>64</v>
      </c>
    </row>
  </sheetData>
  <autoFilter ref="A4:G28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2026-07-30T02:52:13Z</dcterms:created>
  <dc:creator>openpyxl</dc:creator>
  <dc:description/>
  <dc:language>en-US</dc:language>
  <cp:lastModifiedBy/>
  <dcterms:modified xsi:type="dcterms:W3CDTF">2026-07-30T02:52:13Z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